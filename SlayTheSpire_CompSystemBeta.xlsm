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le-salleA406\Downloads\"/>
    </mc:Choice>
  </mc:AlternateContent>
  <xr:revisionPtr revIDLastSave="0" documentId="13_ncr:1_{3854D373-8E02-45E2-82EC-9F09D1F2B5E7}" xr6:coauthVersionLast="36" xr6:coauthVersionMax="47" xr10:uidLastSave="{00000000-0000-0000-0000-000000000000}"/>
  <bookViews>
    <workbookView xWindow="0" yWindow="0" windowWidth="28800" windowHeight="12225" activeTab="8" xr2:uid="{148E8E73-A1E7-4BDE-9F80-62AD5A712653}"/>
  </bookViews>
  <sheets>
    <sheet name="UI" sheetId="1" r:id="rId1"/>
    <sheet name="Rules" sheetId="9" r:id="rId2"/>
    <sheet name="Enemies" sheetId="2" r:id="rId3"/>
    <sheet name="Fights" sheetId="5" r:id="rId4"/>
    <sheet name="PermanentDeck" sheetId="3" state="hidden" r:id="rId5"/>
    <sheet name="BattleDeck" sheetId="7" state="hidden" r:id="rId6"/>
    <sheet name="DiscardPile" sheetId="8" state="hidden" r:id="rId7"/>
    <sheet name="BaseDeck" sheetId="4" state="hidden" r:id="rId8"/>
    <sheet name="Cards" sheetId="10" r:id="rId9"/>
    <sheet name="Cards(old)" sheetId="6" r:id="rId10"/>
    <sheet name="To do" sheetId="11" r:id="rId11"/>
  </sheets>
  <functionGroups builtInGroupCount="19"/>
  <definedNames>
    <definedName name="DrawCount">UI!$B$7</definedName>
    <definedName name="Energy">UI!$B$6</definedName>
    <definedName name="PlayerBlock">UI!$B$4</definedName>
    <definedName name="PlayerHP">UI!$B$5</definedName>
    <definedName name="PlayHP">UI!$B$5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0" l="1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24" i="10"/>
  <c r="J25" i="10"/>
  <c r="J23" i="10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4" authorId="0" shapeId="0" xr:uid="{D6427083-E76F-4CFD-83EA-88F46DEECEDC}">
      <text>
        <r>
          <rPr>
            <sz val="9"/>
            <color indexed="81"/>
            <rFont val="Tahoma"/>
            <family val="2"/>
          </rPr>
          <t xml:space="preserve">Block protects you from incoming damage. It vanishes at the start of your turn.
</t>
        </r>
      </text>
    </comment>
    <comment ref="B5" authorId="0" shapeId="0" xr:uid="{C6EC241E-82D3-47B7-AA2F-47B807E4709D}">
      <text>
        <r>
          <rPr>
            <sz val="9"/>
            <color indexed="81"/>
            <rFont val="Tahoma"/>
            <family val="2"/>
          </rPr>
          <t>If your HP reaches 0, you lose.</t>
        </r>
      </text>
    </comment>
    <comment ref="B6" authorId="0" shapeId="0" xr:uid="{3375F5D3-94E4-4DA6-88E9-8BB1DA1D42F8}">
      <text>
        <r>
          <rPr>
            <sz val="9"/>
            <color indexed="81"/>
            <rFont val="Tahoma"/>
            <family val="2"/>
          </rPr>
          <t>Most cards cost energy to play. Your energy resets to 3 at the start of your turn.</t>
        </r>
      </text>
    </comment>
    <comment ref="B7" authorId="0" shapeId="0" xr:uid="{28E7C9A1-F07C-446F-B877-CF6FA05A75D0}">
      <text>
        <r>
          <rPr>
            <sz val="9"/>
            <color indexed="81"/>
            <rFont val="Tahoma"/>
            <family val="2"/>
          </rPr>
          <t>You will draw this many cards next turn.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1" authorId="0" shapeId="0" xr:uid="{EF3A74E3-6189-494C-8EE6-0E52AC705BBB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 tilda between two numbers means that the enemy's max HP is a random value between those two numbers.
This makes fights with eg. three zombies look more interesting.</t>
        </r>
      </text>
    </comment>
    <comment ref="D1" authorId="0" shapeId="0" xr:uid="{1F445548-24FF-4C45-8BBD-3979B481AFA5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Each option is added to the rewards after a battle this enemy was in.</t>
        </r>
      </text>
    </comment>
    <comment ref="E1" authorId="0" shapeId="0" xr:uid="{0F7CB6C2-1757-4889-B0CC-C91320C9BEF0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; separates turns and , separates random options for that turn</t>
        </r>
      </text>
    </comment>
    <comment ref="G1" authorId="0" shapeId="0" xr:uid="{72BDDA00-54B6-4C7A-A42B-49D7A40F9A7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Changes the font size for the enemy sprite.</t>
        </r>
      </text>
    </comment>
    <comment ref="H1" authorId="0" shapeId="0" xr:uid="{9CAB2C3C-689D-456D-8E50-6632D712FF8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-4107 is bottom, -4108 is middle, -4160 is top; ie. grounded, floating, and flying enemies.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lille-salleD113</author>
    <author>Alexandre Dumont</author>
  </authors>
  <commentList>
    <comment ref="F1" authorId="0" shapeId="0" xr:uid="{D8BBDB62-C1FF-4D04-A5F0-37B4AB487AAF}">
      <text>
        <r>
          <rPr>
            <b/>
            <sz val="9"/>
            <color indexed="81"/>
            <rFont val="Tahoma"/>
            <family val="2"/>
          </rPr>
          <t>lille-salleD113:</t>
        </r>
        <r>
          <rPr>
            <sz val="9"/>
            <color indexed="81"/>
            <rFont val="Tahoma"/>
            <family val="2"/>
          </rPr>
          <t xml:space="preserve">
used for intents
</t>
        </r>
      </text>
    </comment>
    <comment ref="U1" authorId="1" shapeId="0" xr:uid="{EF8E9BFE-BEAB-47FF-B714-B92436E12B4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V1" authorId="1" shapeId="0" xr:uid="{FA3C195C-65B8-4A1C-B80B-0E6C7F32540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X1" authorId="1" shapeId="0" xr:uid="{09B015FF-D1F3-4689-8934-349587277C92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G1" authorId="0" shapeId="0" xr:uid="{B869F7D6-D5D6-4509-8F4B-3BEE72AB7F99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Exhaust cards are removed from the deck until the end of battle when played.</t>
        </r>
      </text>
    </comment>
    <comment ref="H1" authorId="0" shapeId="0" xr:uid="{8AB830E7-4C40-4C3E-BFF4-076F3CBC4DC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Piercing cards ignore block when played.</t>
        </r>
      </text>
    </comment>
    <comment ref="I1" authorId="0" shapeId="0" xr:uid="{9F1F62CC-F2A5-4D7B-8E9D-879DFB71F10A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AoE (Area of Effect) cards hit all enemies when played.</t>
        </r>
      </text>
    </comment>
    <comment ref="N1" authorId="0" shapeId="0" xr:uid="{32F481EA-CCA2-4C62-B8D5-1565681B86E7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O1" authorId="0" shapeId="0" xr:uid="{D70EACE5-0185-4E38-9AD4-F60F5D320601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Q1" authorId="0" shapeId="0" xr:uid="{48C63244-5B39-4FBF-BEBA-6C500F9FDCC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sharedStrings.xml><?xml version="1.0" encoding="utf-8"?>
<sst xmlns="http://schemas.openxmlformats.org/spreadsheetml/2006/main" count="1068" uniqueCount="468">
  <si>
    <t>Strike</t>
  </si>
  <si>
    <t>Card Name</t>
  </si>
  <si>
    <t>Damage</t>
  </si>
  <si>
    <t>Block</t>
  </si>
  <si>
    <t>Cost</t>
  </si>
  <si>
    <t>Defend</t>
  </si>
  <si>
    <t>Heal</t>
  </si>
  <si>
    <t>Exhaust</t>
  </si>
  <si>
    <t>Bandages</t>
  </si>
  <si>
    <t>Name</t>
  </si>
  <si>
    <t>HP</t>
  </si>
  <si>
    <t>Sprite</t>
  </si>
  <si>
    <t>AI</t>
  </si>
  <si>
    <t>👹</t>
  </si>
  <si>
    <t>👺</t>
  </si>
  <si>
    <t>🤖</t>
  </si>
  <si>
    <t>💀</t>
  </si>
  <si>
    <t>👻</t>
  </si>
  <si>
    <t>🧟</t>
  </si>
  <si>
    <t>🧛</t>
  </si>
  <si>
    <t>🧚</t>
  </si>
  <si>
    <t>❤️</t>
  </si>
  <si>
    <t>🐱‍👤</t>
  </si>
  <si>
    <t>Ogre</t>
  </si>
  <si>
    <t>Tengu</t>
  </si>
  <si>
    <t>Robot</t>
  </si>
  <si>
    <t>Skeleton</t>
  </si>
  <si>
    <t>Ghost</t>
  </si>
  <si>
    <t>Zombie</t>
  </si>
  <si>
    <t>Vampire</t>
  </si>
  <si>
    <t>Fairy</t>
  </si>
  <si>
    <t>Clobber</t>
  </si>
  <si>
    <t>Leech</t>
  </si>
  <si>
    <t>Enemy1</t>
  </si>
  <si>
    <t>Enemy2</t>
  </si>
  <si>
    <t>Enemy3</t>
  </si>
  <si>
    <t>Min floor</t>
  </si>
  <si>
    <t>Max floor</t>
  </si>
  <si>
    <t>Rewards</t>
  </si>
  <si>
    <t>Piercing</t>
  </si>
  <si>
    <t>Ghastly Strike</t>
  </si>
  <si>
    <t>AoE</t>
  </si>
  <si>
    <t>Hurricane</t>
  </si>
  <si>
    <t>Swarm of Bats</t>
  </si>
  <si>
    <t>Leech;Swarm of Bats</t>
  </si>
  <si>
    <t>Defend;Strike</t>
  </si>
  <si>
    <t>Strike;Strike;Clobber</t>
  </si>
  <si>
    <t>50~55</t>
  </si>
  <si>
    <t>7~10</t>
  </si>
  <si>
    <t>10~12</t>
  </si>
  <si>
    <t>HAND</t>
  </si>
  <si>
    <t>Turn:</t>
  </si>
  <si>
    <t>Target</t>
  </si>
  <si>
    <t>Enemy</t>
  </si>
  <si>
    <t>Self</t>
  </si>
  <si>
    <t>Description</t>
  </si>
  <si>
    <t>Targets</t>
  </si>
  <si>
    <t>END
TURN</t>
  </si>
  <si>
    <t>🔪</t>
  </si>
  <si>
    <t>Battle:</t>
  </si>
  <si>
    <t>Strike;Throw</t>
  </si>
  <si>
    <t>Throw</t>
  </si>
  <si>
    <t>Clobber;Strike</t>
  </si>
  <si>
    <t>Strike;Defend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</si>
  <si>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</si>
  <si>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</si>
  <si>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</si>
  <si>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Protocol</t>
    </r>
  </si>
  <si>
    <t>Δ Protocol;α Protocol;β Protocol;Ω Protocol</t>
  </si>
  <si>
    <t>🐉</t>
  </si>
  <si>
    <t>🦇</t>
  </si>
  <si>
    <t>🕷️</t>
  </si>
  <si>
    <t>🧙</t>
  </si>
  <si>
    <t>Dragon</t>
  </si>
  <si>
    <t>Bat</t>
  </si>
  <si>
    <t>Spider</t>
  </si>
  <si>
    <t>Wizard</t>
  </si>
  <si>
    <t>60~66</t>
  </si>
  <si>
    <t>16~18</t>
  </si>
  <si>
    <t>19~23</t>
  </si>
  <si>
    <t>25~29</t>
  </si>
  <si>
    <t>19~24</t>
  </si>
  <si>
    <t>16~21</t>
  </si>
  <si>
    <t>Barrier;Fire&amp;Heal,Fire&amp;Earth,Earth&amp;Heal,Triplecast</t>
  </si>
  <si>
    <t>40~45</t>
  </si>
  <si>
    <t>Fire&amp;Heal;Fire&amp;Earth;Earth&amp;Heal</t>
  </si>
  <si>
    <t>Cannot be obtained because it doesn't drop, would be too strong</t>
  </si>
  <si>
    <t>Fire Breath</t>
  </si>
  <si>
    <t>Piercing Bite</t>
  </si>
  <si>
    <t>Dragonhide</t>
  </si>
  <si>
    <t>Dragonstrike</t>
  </si>
  <si>
    <t>Barrier</t>
  </si>
  <si>
    <t>Fire&amp;Heal</t>
  </si>
  <si>
    <t>Fire&amp;Earth</t>
  </si>
  <si>
    <t>Earth&amp;Heal</t>
  </si>
  <si>
    <t>Triplecast</t>
  </si>
  <si>
    <t>This is a clone of Slay the Spire I made in an afternoon for fun and practice.</t>
  </si>
  <si>
    <t>The game is a roguelike deckbuilder.</t>
  </si>
  <si>
    <t>Roguelike means you go back to the start of the game if you die.</t>
  </si>
  <si>
    <t>Deckbuilder means you have a deck of cards you modify over the course of a playthrough.</t>
  </si>
  <si>
    <t>Combat takes place in successive turns. You draw five cards per turn and are given three energy.</t>
  </si>
  <si>
    <t>Cards cost between 0 and 3 energy to play from your hand and represent the actions your character takes.</t>
  </si>
  <si>
    <t>After each combat, you can add one card to your deck. In Slay the Spire, rewards are random; in this game, enemies have fixed rewards.</t>
  </si>
  <si>
    <t>Cannot be obtained since the dragon is the end boss</t>
  </si>
  <si>
    <t>Cannot be obtained because it would invalidate other options</t>
  </si>
  <si>
    <t>Wind's Ward</t>
  </si>
  <si>
    <t>Draw</t>
  </si>
  <si>
    <t>Trick</t>
  </si>
  <si>
    <t>💫</t>
  </si>
  <si>
    <t>Stuns</t>
  </si>
  <si>
    <t>Piercing Bite;Web</t>
  </si>
  <si>
    <t>Web</t>
  </si>
  <si>
    <t>Exists to give the Tengu an alternative reward to Hurricane.</t>
  </si>
  <si>
    <t>🗿</t>
  </si>
  <si>
    <t>Moai</t>
  </si>
  <si>
    <t>45~55</t>
  </si>
  <si>
    <t>Trick;Hurricane,Heal</t>
  </si>
  <si>
    <t>Wind's Ward;Hurricane,Fire;Wind's Ward,Fire</t>
  </si>
  <si>
    <t>Hurricane;Wind's Ward;Fire</t>
  </si>
  <si>
    <t>Hurricane;Trick;Heal</t>
  </si>
  <si>
    <t>Earth;Clobber</t>
  </si>
  <si>
    <t>Earth,Earth,Earth,Clobber;Earth,Earth,Clobber;Earth,Clobber</t>
  </si>
  <si>
    <t>Fire</t>
  </si>
  <si>
    <t>Earth</t>
  </si>
  <si>
    <t>A super special move that stuns by just… replacing the displayed intent, then the code that reads intents fails gracefully.</t>
  </si>
  <si>
    <t>Better strike</t>
  </si>
  <si>
    <t>Doesn't drop</t>
  </si>
  <si>
    <t>Base deck</t>
  </si>
  <si>
    <t>Weak but helps with frontloading damage early game.</t>
  </si>
  <si>
    <t>Self-replacing, good with lower cost cards</t>
  </si>
  <si>
    <t>UNGA BUNGA</t>
  </si>
  <si>
    <t>Weaker strike but it heals</t>
  </si>
  <si>
    <t>Delta stands for defensive</t>
  </si>
  <si>
    <t>Alpha stands for attack</t>
  </si>
  <si>
    <t>Beta stands for balanced</t>
  </si>
  <si>
    <t>Strong but only lasts one turn, does basically nothing against the Ogre for instance</t>
  </si>
  <si>
    <t>Very free</t>
  </si>
  <si>
    <t>Very strong</t>
  </si>
  <si>
    <t>Good, but I find the one below stronger in late game since enemies hit hard almost every turn</t>
  </si>
  <si>
    <t>My favorite option</t>
  </si>
  <si>
    <t>Maybe good if you get an early Wizard and you are low on health</t>
  </si>
  <si>
    <t>pp big</t>
  </si>
  <si>
    <t>block big</t>
  </si>
  <si>
    <t>heals but costs mana</t>
  </si>
  <si>
    <t>You shouldn't need to touch code as long as you assign a card to an enemy's AI and/or rewards, and as long as you assign an enemy to a fight.</t>
  </si>
  <si>
    <t>You can unhide worksheets that contains the base deck, permanent deck, in-battle deck, and discard pile to look at that stuff.</t>
  </si>
  <si>
    <t>See the Enemies, Fights, and Cards worksheets for detailed information about everything, to change values, or add your own.</t>
  </si>
  <si>
    <t>Color</t>
  </si>
  <si>
    <t>Size</t>
  </si>
  <si>
    <t>🦖</t>
  </si>
  <si>
    <t>🦍</t>
  </si>
  <si>
    <t>🐒</t>
  </si>
  <si>
    <t>🦧</t>
  </si>
  <si>
    <t>🐙</t>
  </si>
  <si>
    <t>🧜‍♂️</t>
  </si>
  <si>
    <t>T-Rex</t>
  </si>
  <si>
    <t>Monke</t>
  </si>
  <si>
    <t>Kraken</t>
  </si>
  <si>
    <t>Brorilla</t>
  </si>
  <si>
    <t>Brorangutan</t>
  </si>
  <si>
    <t>Merman</t>
  </si>
  <si>
    <t>Throw Darts</t>
  </si>
  <si>
    <t>Tentacle</t>
  </si>
  <si>
    <t>Tsunami</t>
  </si>
  <si>
    <t>Tsunami;Strike</t>
  </si>
  <si>
    <t>Grave</t>
  </si>
  <si>
    <t>Card</t>
  </si>
  <si>
    <t>No block</t>
  </si>
  <si>
    <t>No heal</t>
  </si>
  <si>
    <t>No damage</t>
  </si>
  <si>
    <t>ooh ooh aah AAH</t>
  </si>
  <si>
    <t>Banana🍌</t>
  </si>
  <si>
    <t>Random</t>
  </si>
  <si>
    <t>AoE piercing</t>
  </si>
  <si>
    <t>replaces itself and makes copies of itself in your deck, strong in long battles</t>
  </si>
  <si>
    <t>healing</t>
  </si>
  <si>
    <t>upgrading attack</t>
  </si>
  <si>
    <t>AoE that negates attack intent</t>
  </si>
  <si>
    <t>monke, makes target vulnerable by negating healing/block intent</t>
  </si>
  <si>
    <t>upgraded attack</t>
  </si>
  <si>
    <t>Great Tentacle</t>
  </si>
  <si>
    <t>Tentacle Flurry</t>
  </si>
  <si>
    <t>20~25</t>
  </si>
  <si>
    <t>40~43</t>
  </si>
  <si>
    <t>28~32</t>
  </si>
  <si>
    <t>70~74</t>
  </si>
  <si>
    <t>17~22</t>
  </si>
  <si>
    <t>80~85</t>
  </si>
  <si>
    <t>🛸</t>
  </si>
  <si>
    <t>🔥</t>
  </si>
  <si>
    <t>😈</t>
  </si>
  <si>
    <t>🦅</t>
  </si>
  <si>
    <t>🦕</t>
  </si>
  <si>
    <t>👽</t>
  </si>
  <si>
    <t>Imp</t>
  </si>
  <si>
    <t>Wisp</t>
  </si>
  <si>
    <t>Alien</t>
  </si>
  <si>
    <t>Ember</t>
  </si>
  <si>
    <t>Breathe In</t>
  </si>
  <si>
    <t>Adds two fire breaths to the deck</t>
  </si>
  <si>
    <t>Dragonbreath</t>
  </si>
  <si>
    <t>Path row</t>
  </si>
  <si>
    <t>Alien Chief</t>
  </si>
  <si>
    <t>🧜‍♀️</t>
  </si>
  <si>
    <t>Mermaid</t>
  </si>
  <si>
    <t>Wind's Ward;Tsunami</t>
  </si>
  <si>
    <t>Laser Gun</t>
  </si>
  <si>
    <t>Summon</t>
  </si>
  <si>
    <t>Fire Shield</t>
  </si>
  <si>
    <t>8~10</t>
  </si>
  <si>
    <t>Laser Cannon</t>
  </si>
  <si>
    <t>Reinforce</t>
  </si>
  <si>
    <t>66~69</t>
  </si>
  <si>
    <t>Take flight;Swoop</t>
  </si>
  <si>
    <t>Take flight</t>
  </si>
  <si>
    <t>Retain</t>
  </si>
  <si>
    <t>Swoop</t>
  </si>
  <si>
    <t>60~65</t>
  </si>
  <si>
    <t>54~63</t>
  </si>
  <si>
    <t>10~15</t>
  </si>
  <si>
    <t>Rokh</t>
  </si>
  <si>
    <r>
      <t>🦖</t>
    </r>
    <r>
      <rPr>
        <sz val="11"/>
        <color theme="1"/>
        <rFont val="Calibri"/>
        <family val="2"/>
        <scheme val="minor"/>
      </rPr>
      <t>⛺</t>
    </r>
  </si>
  <si>
    <r>
      <t>🧛</t>
    </r>
    <r>
      <rPr>
        <sz val="11"/>
        <color theme="1"/>
        <rFont val="Calibri"/>
        <family val="2"/>
        <scheme val="minor"/>
      </rPr>
      <t>⛺</t>
    </r>
  </si>
  <si>
    <r>
      <t>🦍</t>
    </r>
    <r>
      <rPr>
        <sz val="11"/>
        <color theme="1"/>
        <rFont val="Calibri"/>
        <family val="2"/>
        <scheme val="minor"/>
      </rPr>
      <t>⛺</t>
    </r>
  </si>
  <si>
    <r>
      <t>🐙</t>
    </r>
    <r>
      <rPr>
        <sz val="11"/>
        <color theme="1"/>
        <rFont val="Calibri"/>
        <family val="2"/>
        <scheme val="minor"/>
      </rPr>
      <t>⛺</t>
    </r>
  </si>
  <si>
    <r>
      <t>😈</t>
    </r>
    <r>
      <rPr>
        <sz val="11"/>
        <color theme="1"/>
        <rFont val="Calibri"/>
        <family val="2"/>
        <scheme val="minor"/>
      </rPr>
      <t>⛺</t>
    </r>
  </si>
  <si>
    <t>Strike+</t>
  </si>
  <si>
    <t>Defend+</t>
  </si>
  <si>
    <t>Bandages+</t>
  </si>
  <si>
    <t>Throw+</t>
  </si>
  <si>
    <t>Trick+</t>
  </si>
  <si>
    <t>Clobber+</t>
  </si>
  <si>
    <t>Leech+</t>
  </si>
  <si>
    <t>Δ Protocol+</t>
  </si>
  <si>
    <t>α Protocol+</t>
  </si>
  <si>
    <t>β Protocol+</t>
  </si>
  <si>
    <t>Swarm of Bats+</t>
  </si>
  <si>
    <t>Ghastly Strike+</t>
  </si>
  <si>
    <t>Wind's Ward+</t>
  </si>
  <si>
    <t>Hurricane+</t>
  </si>
  <si>
    <t>Piercing Bite+</t>
  </si>
  <si>
    <t>Web+</t>
  </si>
  <si>
    <t>Fire&amp;Heal+</t>
  </si>
  <si>
    <t>Fire&amp;Earth+</t>
  </si>
  <si>
    <t>Earth&amp;Heal+</t>
  </si>
  <si>
    <t>Fire+</t>
  </si>
  <si>
    <t>Earth+</t>
  </si>
  <si>
    <t>Heal+</t>
  </si>
  <si>
    <t>Throw Darts+</t>
  </si>
  <si>
    <t>ooh ooh aah AAH+</t>
  </si>
  <si>
    <t>Banana🍌+</t>
  </si>
  <si>
    <t>Tentacle+</t>
  </si>
  <si>
    <t>Tsunami+</t>
  </si>
  <si>
    <t>Great Tentacle+</t>
  </si>
  <si>
    <t>Tentacle Flurry+</t>
  </si>
  <si>
    <t>Fire Breath+</t>
  </si>
  <si>
    <t>Breathe In+</t>
  </si>
  <si>
    <t>Take flight+</t>
  </si>
  <si>
    <t>Dino Mother</t>
  </si>
  <si>
    <t>Dino Baby</t>
  </si>
  <si>
    <t>Ember,Ember,Ember,Ember,Fire</t>
  </si>
  <si>
    <t>Cost: 1._x000D_
Block 5.</t>
  </si>
  <si>
    <t>Your turn!</t>
  </si>
  <si>
    <t>Throw Darts;ooh ooh aah AAH;Banana🍌</t>
  </si>
  <si>
    <t>Fire Breath;Fire Breath;Fire Shield</t>
  </si>
  <si>
    <t>🛡️</t>
  </si>
  <si>
    <t>🗲</t>
  </si>
  <si>
    <t>Swarm of Bats;Leech+;Leech+,Ghastly Strike</t>
  </si>
  <si>
    <t>Vertical</t>
  </si>
  <si>
    <t>🎴</t>
  </si>
  <si>
    <t>Block delay</t>
  </si>
  <si>
    <t>HP delay</t>
  </si>
  <si>
    <t>Energy delay</t>
  </si>
  <si>
    <t>Draw delay</t>
  </si>
  <si>
    <r>
      <rPr>
        <b/>
        <sz val="11"/>
        <color theme="0" tint="-4.9989318521683403E-2"/>
        <rFont val="Calibri"/>
        <family val="2"/>
        <scheme val="minor"/>
      </rPr>
      <t>Stun</t>
    </r>
    <r>
      <rPr>
        <sz val="11"/>
        <color theme="0" tint="-4.9989318521683403E-2"/>
        <rFont val="Calibri"/>
        <family val="2"/>
        <scheme val="minor"/>
      </rPr>
      <t>: prevents its target from acting for the turn. Doesn't alter the target's pattern.</t>
    </r>
  </si>
  <si>
    <r>
      <rPr>
        <b/>
        <sz val="11"/>
        <color theme="0" tint="-4.9989318521683403E-2"/>
        <rFont val="Calibri"/>
        <family val="2"/>
        <scheme val="minor"/>
      </rPr>
      <t>Grave</t>
    </r>
    <r>
      <rPr>
        <sz val="11"/>
        <color theme="0" tint="-4.9989318521683403E-2"/>
        <rFont val="Calibri"/>
        <family val="2"/>
        <scheme val="minor"/>
      </rPr>
      <t>: puts a card in your discard pile when used.</t>
    </r>
  </si>
  <si>
    <r>
      <rPr>
        <b/>
        <sz val="11"/>
        <color theme="0" tint="-4.9989318521683403E-2"/>
        <rFont val="Calibri"/>
        <family val="2"/>
        <scheme val="minor"/>
      </rPr>
      <t>Prevent</t>
    </r>
    <r>
      <rPr>
        <sz val="11"/>
        <color theme="0" tint="-4.9989318521683403E-2"/>
        <rFont val="Calibri"/>
        <family val="2"/>
        <scheme val="minor"/>
      </rPr>
      <t xml:space="preserve"> damage/block/heal: disabling that property from their target enemy's next move.</t>
    </r>
  </si>
  <si>
    <r>
      <rPr>
        <b/>
        <sz val="11"/>
        <color theme="0" tint="-4.9989318521683403E-2"/>
        <rFont val="Calibri"/>
        <family val="2"/>
        <scheme val="minor"/>
      </rPr>
      <t>Draw</t>
    </r>
    <r>
      <rPr>
        <sz val="11"/>
        <color theme="0" tint="-4.9989318521683403E-2"/>
        <rFont val="Calibri"/>
        <family val="2"/>
        <scheme val="minor"/>
      </rPr>
      <t>: adds a card to the hand when used.</t>
    </r>
  </si>
  <si>
    <r>
      <rPr>
        <b/>
        <sz val="11"/>
        <color theme="0" tint="-4.9989318521683403E-2"/>
        <rFont val="Calibri"/>
        <family val="2"/>
        <scheme val="minor"/>
      </rPr>
      <t>Retain</t>
    </r>
    <r>
      <rPr>
        <sz val="11"/>
        <color theme="0" tint="-4.9989318521683403E-2"/>
        <rFont val="Calibri"/>
        <family val="2"/>
        <scheme val="minor"/>
      </rPr>
      <t>: this card is not discarded at the end of the turn, only when played.</t>
    </r>
  </si>
  <si>
    <r>
      <rPr>
        <b/>
        <sz val="11"/>
        <color theme="0" tint="-4.9989318521683403E-2"/>
        <rFont val="Calibri"/>
        <family val="2"/>
        <scheme val="minor"/>
      </rPr>
      <t>Exhaust</t>
    </r>
    <r>
      <rPr>
        <sz val="11"/>
        <color theme="0" tint="-4.9989318521683403E-2"/>
        <rFont val="Calibri"/>
        <family val="2"/>
        <scheme val="minor"/>
      </rPr>
      <t>: this card is removed from the deck until the end of the battle when used.</t>
    </r>
  </si>
  <si>
    <r>
      <rPr>
        <b/>
        <u/>
        <sz val="11"/>
        <color theme="0" tint="-4.9989318521683403E-2"/>
        <rFont val="Calibri"/>
        <family val="2"/>
        <scheme val="minor"/>
      </rPr>
      <t>Keywords</t>
    </r>
    <r>
      <rPr>
        <u/>
        <sz val="11"/>
        <color theme="0" tint="-4.9989318521683403E-2"/>
        <rFont val="Calibri"/>
        <family val="2"/>
        <scheme val="minor"/>
      </rPr>
      <t>:</t>
    </r>
  </si>
  <si>
    <t>Energy</t>
  </si>
  <si>
    <t>Fire Breath;Ito Shura</t>
  </si>
  <si>
    <t>Ito Shura</t>
  </si>
  <si>
    <t>Like Blasphemy from StS</t>
  </si>
  <si>
    <t>Ito Shura+</t>
  </si>
  <si>
    <t>Battery</t>
  </si>
  <si>
    <t>Battery+</t>
  </si>
  <si>
    <t>Δ Protocol;α Protocol;β Protocol;Battery</t>
  </si>
  <si>
    <t>🐊</t>
  </si>
  <si>
    <t>🦂</t>
  </si>
  <si>
    <t>🐍</t>
  </si>
  <si>
    <t>💠</t>
  </si>
  <si>
    <t>Alien Sentry</t>
  </si>
  <si>
    <t>16~19</t>
  </si>
  <si>
    <t>🧙‍♀️</t>
  </si>
  <si>
    <t>Witch</t>
  </si>
  <si>
    <t>🐈</t>
  </si>
  <si>
    <t>Familiar</t>
  </si>
  <si>
    <t>Snek</t>
  </si>
  <si>
    <t>Giant Scorpion</t>
  </si>
  <si>
    <t>Crocodile</t>
  </si>
  <si>
    <t>Befuddling Sting</t>
  </si>
  <si>
    <t>Paralysing Bite</t>
  </si>
  <si>
    <t>Trick;Piercing Bite</t>
  </si>
  <si>
    <t>30~35</t>
  </si>
  <si>
    <t>Rune of Strength;Rune of Protection;Rune of Desperation</t>
  </si>
  <si>
    <t>Rune of Weakness;Rune of Pain;Rune of Protection+</t>
  </si>
  <si>
    <t>Piercing Bite;Dragonhide</t>
  </si>
  <si>
    <t>Paralysing Strike</t>
  </si>
  <si>
    <t>Laser Cannon;Reinforce,Deploy Sentry;Gravity Crush;Ω Protocol</t>
  </si>
  <si>
    <t>Deploy Sentry</t>
  </si>
  <si>
    <t>Gravity Field</t>
  </si>
  <si>
    <t>Gravity Crush</t>
  </si>
  <si>
    <t>Befouling Strike</t>
  </si>
  <si>
    <t>Throw 💩;ooh ooh aah AAH;Banana🍌</t>
  </si>
  <si>
    <t>Throw 💩</t>
  </si>
  <si>
    <t>Throw 💩+</t>
  </si>
  <si>
    <t>Rune of Weakness</t>
  </si>
  <si>
    <t>Rune of Pain</t>
  </si>
  <si>
    <t>Rune of Protection</t>
  </si>
  <si>
    <t>Rune of Strength</t>
  </si>
  <si>
    <t>Rune of Desperation</t>
  </si>
  <si>
    <t>Ignores block.</t>
  </si>
  <si>
    <t>Rune of Desperation+</t>
  </si>
  <si>
    <t>Rune of Strength+</t>
  </si>
  <si>
    <t>Rune of Protection+</t>
  </si>
  <si>
    <t>Draconic Aura</t>
  </si>
  <si>
    <t>Same + very OP</t>
  </si>
  <si>
    <t>Dragonbreath,Dragonhide,Dragonstrike;Dragonbreath,Dragonhide,Dragonstrike,Draconic Aura;Dragonbreath,Dragonhide,Dragonstrike,Draconic Aura,Draconic Aura;Draconic Aura</t>
  </si>
  <si>
    <t>A way to get energy if you want to build a high-cost deck</t>
  </si>
  <si>
    <t>Witch doesn't get the delayed block so she uses the + version</t>
  </si>
  <si>
    <t>Plain buff</t>
  </si>
  <si>
    <t>Panic button, strong against the Alien boss which is nice since it's on the right path</t>
  </si>
  <si>
    <t>150~160</t>
  </si>
  <si>
    <t>100~105</t>
  </si>
  <si>
    <t>Piercing Bite+;Dragonhide;Great Roar;Clobber+</t>
  </si>
  <si>
    <t>Strike+;Dragonhide;Great Roar</t>
  </si>
  <si>
    <t>Great Roar</t>
  </si>
  <si>
    <t>Drops from T-Rex</t>
  </si>
  <si>
    <t>Dragon only</t>
  </si>
  <si>
    <t>24~28</t>
  </si>
  <si>
    <t>Comp</t>
  </si>
  <si>
    <t>Args</t>
  </si>
  <si>
    <t>Target,6</t>
  </si>
  <si>
    <t>List of comps:</t>
  </si>
  <si>
    <t>Target is an enum.</t>
  </si>
  <si>
    <t>All</t>
  </si>
  <si>
    <t>Cost(Amount)</t>
  </si>
  <si>
    <t>Exhaust()</t>
  </si>
  <si>
    <t>Damage(Target, Amount, Pierce)</t>
  </si>
  <si>
    <t>Draw(Amount)</t>
  </si>
  <si>
    <t>Deal 6 damage.</t>
  </si>
  <si>
    <t>Gain 5 block.</t>
  </si>
  <si>
    <t>Heal 5 HP.</t>
  </si>
  <si>
    <t>Deal 5 damage.</t>
  </si>
  <si>
    <t>Delay(Amount)</t>
  </si>
  <si>
    <t>Notes</t>
  </si>
  <si>
    <t>Draw N cards</t>
  </si>
  <si>
    <t>Pauses for N seconds.</t>
  </si>
  <si>
    <t>Card exhausts.</t>
  </si>
  <si>
    <t>Conditional</t>
  </si>
  <si>
    <t>Stops effects if previous return was not arg.</t>
  </si>
  <si>
    <t>Conditional(MustHaveValue)</t>
  </si>
  <si>
    <t>DrawFuture</t>
  </si>
  <si>
    <t>HealFuture</t>
  </si>
  <si>
    <t>BlockFuture</t>
  </si>
  <si>
    <t>EnergyFuture</t>
  </si>
  <si>
    <t>Heal(Amount)</t>
  </si>
  <si>
    <t>Block(Amount)</t>
  </si>
  <si>
    <t>Energy(Amount)</t>
  </si>
  <si>
    <t>Target,5</t>
  </si>
  <si>
    <t>Deal 4 damage, gain 4 block, draw 1.</t>
  </si>
  <si>
    <t>Target,4</t>
  </si>
  <si>
    <t>Cards can deal damage, grant block, which protects from damage until your next turn, or heal your character.</t>
  </si>
  <si>
    <t>Deal 20 damage.</t>
  </si>
  <si>
    <t>Returns damage dealt and whether lethal</t>
  </si>
  <si>
    <t>Deal 5 damage. Heal for damage dealt.</t>
  </si>
  <si>
    <t>PREV</t>
  </si>
  <si>
    <t>Gain 10 block.</t>
  </si>
  <si>
    <t>Deal 10 damage.</t>
  </si>
  <si>
    <t>Target,20</t>
  </si>
  <si>
    <t>Target,10</t>
  </si>
  <si>
    <t>Design space comp system opens up:</t>
  </si>
  <si>
    <t>Fatal effects</t>
  </si>
  <si>
    <t>Deal 6 damage, gain 6 block.</t>
  </si>
  <si>
    <t>Multihits</t>
  </si>
  <si>
    <t>Hits on different targets</t>
  </si>
  <si>
    <t>AoE centered on a guy</t>
  </si>
  <si>
    <t>Summon(EnemyName)</t>
  </si>
  <si>
    <t>Summon illusions (copies that die at the start of the enemy turn)</t>
  </si>
  <si>
    <t>X cost cards (deal damage, pay 1, check energy was paid, if not exit, continue)</t>
  </si>
  <si>
    <t>PREV1</t>
  </si>
  <si>
    <t>Deal 25 damage to all characters. Exhausts.</t>
  </si>
  <si>
    <t>All,25</t>
  </si>
  <si>
    <t>Gain 2 energy. Exhausts.</t>
  </si>
  <si>
    <t>Allied summons</t>
  </si>
  <si>
    <t>AoE,4</t>
  </si>
  <si>
    <t>Deal 4 damage to all enemies, gain 10 block, and summon an allied bat.</t>
  </si>
  <si>
    <t>TRUE</t>
  </si>
  <si>
    <t>FALSE</t>
  </si>
  <si>
    <t>Flurry</t>
  </si>
  <si>
    <t>Target,7</t>
  </si>
  <si>
    <t>Deal 7 damage per remaining energy, up to thrice.</t>
  </si>
  <si>
    <t>To do for comp system:</t>
  </si>
  <si>
    <t>Make sure all cards work</t>
  </si>
  <si>
    <t>Write intents in table</t>
  </si>
  <si>
    <t>Intent</t>
  </si>
  <si>
    <t>Deal 5 damage. Ignores block.</t>
  </si>
  <si>
    <t>Target,5,TRUE</t>
  </si>
  <si>
    <t>Gain 7 block, draw 1.</t>
  </si>
  <si>
    <t>Deal 15 damage to all enemies. Exhausts.</t>
  </si>
  <si>
    <t>AoE,15</t>
  </si>
  <si>
    <t>Deal 10 damage to all enemies, heal 3 HP. Ignores block.</t>
  </si>
  <si>
    <t>AoE,10,TRUE</t>
  </si>
  <si>
    <t>Gain 15 block, heal 3. Exhausts.</t>
  </si>
  <si>
    <t>Deal 15 damage, heal 3.</t>
  </si>
  <si>
    <t>Target,15</t>
  </si>
  <si>
    <t>Use text box trick to flip some emojis so they face the player</t>
  </si>
  <si>
    <t>Gravity Field;Gravity Field,Laser Gun</t>
  </si>
  <si>
    <t>Deal 6 damage, gain 6 block, heal 3.</t>
  </si>
  <si>
    <t>AoE,6</t>
  </si>
  <si>
    <t>Act 4 elites (Thomachoupis, Cyril, Côme)</t>
  </si>
  <si>
    <t>Thomachoupi: aubergine, can use a "nude" attack to debuff player</t>
  </si>
  <si>
    <t>Cyril: chien, can use a "but" attack to deal damage</t>
  </si>
  <si>
    <t>Côme: bombe, can use a "explode" attack to suicide by damaging all</t>
  </si>
  <si>
    <t xml:space="preserve">Chef Shini: </t>
  </si>
  <si>
    <t>appel suprême (invoque un des trois élites)</t>
  </si>
  <si>
    <t>Il est là c'est lui, il va vous, botter le cul,</t>
  </si>
  <si>
    <t>CHEF SHINI!</t>
  </si>
  <si>
    <t>ooh ooh ooh ooh ooh ooh ooh aah aah</t>
  </si>
  <si>
    <t>Il est tellement beau, si fort au kobudo,</t>
  </si>
  <si>
    <t>Il est invincible…</t>
  </si>
  <si>
    <t>un truc sur 1% de sa puissance</t>
  </si>
  <si>
    <t>Fix enemy cards that add life/block/energy/draw delay</t>
  </si>
  <si>
    <t>strike+++++</t>
  </si>
  <si>
    <t>strike EX</t>
  </si>
  <si>
    <t>🐕</t>
  </si>
  <si>
    <t>🍆</t>
  </si>
  <si>
    <t>💣</t>
  </si>
  <si>
    <t>Cyril</t>
  </si>
  <si>
    <t>Thomachoupis</t>
  </si>
  <si>
    <t>Côme</t>
  </si>
  <si>
    <t>10~10</t>
  </si>
  <si>
    <t>30~34</t>
  </si>
  <si>
    <t>Nude</t>
  </si>
  <si>
    <t>But!</t>
  </si>
  <si>
    <t>Explode</t>
  </si>
  <si>
    <t>Deal 8 damage. Ignores block.</t>
  </si>
  <si>
    <t>Stun target enemy.</t>
  </si>
  <si>
    <t>test</t>
  </si>
  <si>
    <t>Chef Shini</t>
  </si>
  <si>
    <t>Add cards to use new mechanics</t>
  </si>
  <si>
    <t>Apes strong together: summon a monke</t>
  </si>
  <si>
    <t>Random,1</t>
  </si>
  <si>
    <t>ooh ooh aah AAH,3</t>
  </si>
  <si>
    <t>Clobber;ooh ooh aah AAH;Apes strong together</t>
  </si>
  <si>
    <t>Clobber; Apes strong together</t>
  </si>
  <si>
    <t>Grave(CardName,Amount)</t>
  </si>
  <si>
    <t>Deal 12 damage, heal 6. Exhausts.</t>
  </si>
  <si>
    <t>Target,12</t>
  </si>
  <si>
    <t>ReplaceIntent</t>
  </si>
  <si>
    <t>6🔪,Strike</t>
  </si>
  <si>
    <t>Deal 5 damage and enrages the target, replacing their intent with Strike.</t>
  </si>
  <si>
    <t>Deal 1 damage to a random enemy, 4 times. Draw 1. Grave 3 copies of this card.</t>
  </si>
  <si>
    <t>Deal 12 damage, gain 12 block. Exhausts.</t>
  </si>
  <si>
    <t>Gain 12 block, heal 6. Exhausts.</t>
  </si>
  <si>
    <t>Deal 12 damage, gain 12 block, heal 6. Exhausts.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</si>
</sst>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C0D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26"/>
      <color rgb="FF833C0C"/>
      <name val="Calibri"/>
      <family val="2"/>
      <scheme val="minor"/>
    </font>
    <font>
      <sz val="30"/>
      <color rgb="FF833C0C"/>
      <name val="Calibri"/>
      <family val="2"/>
      <scheme val="minor"/>
    </font>
    <font>
      <sz val="11"/>
      <color rgb="FF20000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0" tint="-4.9989318521683403E-2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sz val="26"/>
      <color rgb="FFC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wrapText="1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right"/>
    </xf>
    <xf numFmtId="0" fontId="0" fillId="5" borderId="1" xfId="0" applyFill="1" applyBorder="1"/>
    <xf numFmtId="0" fontId="0" fillId="3" borderId="1" xfId="0" applyFill="1" applyBorder="1"/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8" fillId="7" borderId="0" xfId="0" applyFont="1" applyFill="1"/>
    <xf numFmtId="0" fontId="2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vertical="top"/>
    </xf>
    <xf numFmtId="0" fontId="7" fillId="7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7" borderId="6" xfId="0" applyFill="1" applyBorder="1"/>
    <xf numFmtId="0" fontId="1" fillId="7" borderId="1" xfId="0" applyFont="1" applyFill="1" applyBorder="1" applyAlignment="1">
      <alignment horizontal="left"/>
    </xf>
    <xf numFmtId="0" fontId="9" fillId="7" borderId="0" xfId="0" applyFont="1" applyFill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12" xfId="0" applyFill="1" applyBorder="1"/>
    <xf numFmtId="0" fontId="0" fillId="2" borderId="8" xfId="0" applyFill="1" applyBorder="1"/>
    <xf numFmtId="0" fontId="0" fillId="0" borderId="16" xfId="0" applyBorder="1"/>
    <xf numFmtId="0" fontId="0" fillId="0" borderId="15" xfId="0" applyBorder="1"/>
    <xf numFmtId="0" fontId="26" fillId="0" borderId="1" xfId="0" applyFont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4" fillId="15" borderId="0" xfId="0" applyFont="1" applyFill="1"/>
    <xf numFmtId="0" fontId="21" fillId="15" borderId="0" xfId="0" applyFont="1" applyFill="1" applyAlignment="1">
      <alignment horizontal="right"/>
    </xf>
    <xf numFmtId="0" fontId="0" fillId="7" borderId="6" xfId="0" applyFill="1" applyBorder="1" applyAlignment="1">
      <alignment vertical="top" wrapText="1"/>
    </xf>
    <xf numFmtId="0" fontId="0" fillId="7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2" fillId="11" borderId="0" xfId="0" applyFont="1" applyFill="1" applyBorder="1"/>
    <xf numFmtId="0" fontId="0" fillId="7" borderId="0" xfId="0" applyFill="1" applyBorder="1"/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1" fillId="12" borderId="0" xfId="0" applyFont="1" applyFill="1" applyBorder="1"/>
    <xf numFmtId="0" fontId="8" fillId="0" borderId="1" xfId="0" applyFont="1" applyBorder="1"/>
    <xf numFmtId="0" fontId="0" fillId="7" borderId="0" xfId="0" applyFill="1" applyAlignment="1"/>
    <xf numFmtId="0" fontId="0" fillId="7" borderId="0" xfId="0" applyFill="1" applyAlignment="1">
      <alignment vertical="center"/>
    </xf>
    <xf numFmtId="0" fontId="0" fillId="7" borderId="0" xfId="0" applyFill="1" applyAlignment="1">
      <alignment vertical="top"/>
    </xf>
    <xf numFmtId="0" fontId="2" fillId="0" borderId="1" xfId="0" applyFont="1" applyFill="1" applyBorder="1"/>
    <xf numFmtId="0" fontId="0" fillId="16" borderId="0" xfId="0" applyFill="1" applyAlignment="1">
      <alignment horizontal="left"/>
    </xf>
    <xf numFmtId="0" fontId="28" fillId="7" borderId="0" xfId="0" applyFont="1" applyFill="1" applyAlignment="1"/>
    <xf numFmtId="0" fontId="32" fillId="7" borderId="0" xfId="0" applyFont="1" applyFill="1"/>
    <xf numFmtId="0" fontId="34" fillId="7" borderId="0" xfId="0" applyFont="1" applyFill="1"/>
    <xf numFmtId="0" fontId="0" fillId="16" borderId="0" xfId="0" applyFont="1" applyFill="1" applyAlignment="1">
      <alignment horizontal="right"/>
    </xf>
    <xf numFmtId="0" fontId="0" fillId="5" borderId="0" xfId="0" applyFont="1" applyFill="1" applyAlignment="1">
      <alignment horizontal="right"/>
    </xf>
    <xf numFmtId="0" fontId="0" fillId="1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7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0" borderId="1" xfId="0" applyFill="1" applyBorder="1"/>
    <xf numFmtId="0" fontId="3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0" fillId="15" borderId="4" xfId="0" applyFont="1" applyFill="1" applyBorder="1" applyAlignment="1">
      <alignment horizontal="center"/>
    </xf>
    <xf numFmtId="0" fontId="29" fillId="15" borderId="5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wrapText="1"/>
    </xf>
    <xf numFmtId="0" fontId="36" fillId="15" borderId="3" xfId="0" applyFont="1" applyFill="1" applyBorder="1" applyAlignment="1">
      <alignment horizontal="center"/>
    </xf>
    <xf numFmtId="0" fontId="0" fillId="0" borderId="17" xfId="0" applyFill="1" applyBorder="1"/>
    <xf numFmtId="0" fontId="9" fillId="7" borderId="1" xfId="0" applyFont="1" applyFill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00000"/>
      <color rgb="FF200000"/>
      <color rgb="FFFF8C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590550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 new game!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28573</xdr:colOff>
      <xdr:row>14</xdr:row>
      <xdr:rowOff>180974</xdr:rowOff>
    </xdr:from>
    <xdr:to>
      <xdr:col>20</xdr:col>
      <xdr:colOff>142874</xdr:colOff>
      <xdr:row>23</xdr:row>
      <xdr:rowOff>95249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1564A0C-696D-4E7E-AFC0-34D6DF4C69D4}"/>
            </a:ext>
          </a:extLst>
        </xdr:cNvPr>
        <xdr:cNvSpPr txBox="1"/>
      </xdr:nvSpPr>
      <xdr:spPr>
        <a:xfrm flipH="1">
          <a:off x="7915273" y="3809999"/>
          <a:ext cx="1600201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>
            <a:rot lat="0" lon="10800000" rev="0"/>
          </a:camera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0" b="1"/>
            <a:t>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-1</xdr:colOff>
      <xdr:row>13</xdr:row>
      <xdr:rowOff>11206</xdr:rowOff>
    </xdr:from>
    <xdr:to>
      <xdr:col>18</xdr:col>
      <xdr:colOff>11205</xdr:colOff>
      <xdr:row>20</xdr:row>
      <xdr:rowOff>134471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C2E152A-B124-431A-8DC1-FB2DDE99CC7F}"/>
            </a:ext>
          </a:extLst>
        </xdr:cNvPr>
        <xdr:cNvSpPr/>
      </xdr:nvSpPr>
      <xdr:spPr>
        <a:xfrm>
          <a:off x="8617323" y="2465294"/>
          <a:ext cx="2386853" cy="1456765"/>
        </a:xfrm>
        <a:custGeom>
          <a:avLst/>
          <a:gdLst>
            <a:gd name="connsiteX0" fmla="*/ 0 w 2386853"/>
            <a:gd name="connsiteY0" fmla="*/ 0 h 1456765"/>
            <a:gd name="connsiteX1" fmla="*/ 2386853 w 2386853"/>
            <a:gd name="connsiteY1" fmla="*/ 0 h 1456765"/>
            <a:gd name="connsiteX2" fmla="*/ 2386853 w 2386853"/>
            <a:gd name="connsiteY2" fmla="*/ 1456765 h 1456765"/>
            <a:gd name="connsiteX3" fmla="*/ 0 w 2386853"/>
            <a:gd name="connsiteY3" fmla="*/ 1456765 h 1456765"/>
            <a:gd name="connsiteX4" fmla="*/ 0 w 2386853"/>
            <a:gd name="connsiteY4" fmla="*/ 0 h 1456765"/>
            <a:gd name="connsiteX0" fmla="*/ 0 w 2386853"/>
            <a:gd name="connsiteY0" fmla="*/ 0 h 1456765"/>
            <a:gd name="connsiteX1" fmla="*/ 2386853 w 2386853"/>
            <a:gd name="connsiteY1" fmla="*/ 0 h 1456765"/>
            <a:gd name="connsiteX2" fmla="*/ 1098177 w 2386853"/>
            <a:gd name="connsiteY2" fmla="*/ 907677 h 1456765"/>
            <a:gd name="connsiteX3" fmla="*/ 0 w 2386853"/>
            <a:gd name="connsiteY3" fmla="*/ 1456765 h 1456765"/>
            <a:gd name="connsiteX4" fmla="*/ 0 w 2386853"/>
            <a:gd name="connsiteY4" fmla="*/ 0 h 14567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86853" h="1456765">
              <a:moveTo>
                <a:pt x="0" y="0"/>
              </a:moveTo>
              <a:lnTo>
                <a:pt x="2386853" y="0"/>
              </a:lnTo>
              <a:lnTo>
                <a:pt x="1098177" y="907677"/>
              </a:lnTo>
              <a:lnTo>
                <a:pt x="0" y="1456765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5473-0533-40D5-A24B-1BC8899A0CE5}">
  <sheetPr codeName="Sheet1"/>
  <dimension ref="A1:Z46"/>
  <sheetViews>
    <sheetView zoomScaleNormal="100" workbookViewId="0">
      <selection activeCell="E6" sqref="E6"/>
    </sheetView>
  </sheetViews>
  <sheetFormatPr baseColWidth="10" defaultColWidth="8.85546875" defaultRowHeight="15" x14ac:dyDescent="0.25"/>
  <cols>
    <col min="1" max="1" width="10.28515625" bestFit="1" customWidth="1"/>
    <col min="2" max="7" width="10.42578125" customWidth="1"/>
    <col min="10" max="13" width="3.5703125" customWidth="1"/>
    <col min="14" max="14" width="6.28515625" bestFit="1" customWidth="1"/>
    <col min="15" max="17" width="3.5703125" customWidth="1"/>
    <col min="18" max="18" width="6.28515625" bestFit="1" customWidth="1"/>
    <col min="19" max="19" width="3.5703125" customWidth="1"/>
  </cols>
  <sheetData>
    <row r="1" spans="1:26" x14ac:dyDescent="0.25">
      <c r="A1" s="11" t="s">
        <v>59</v>
      </c>
      <c r="B1" s="10">
        <v>1</v>
      </c>
      <c r="C1" s="11" t="s">
        <v>51</v>
      </c>
      <c r="D1" s="10">
        <v>6</v>
      </c>
      <c r="E1" s="26"/>
      <c r="F1" s="26"/>
      <c r="G1" s="26"/>
      <c r="H1" s="7"/>
      <c r="I1" s="19" t="s">
        <v>108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62.25" thickBot="1" x14ac:dyDescent="0.95">
      <c r="A2" s="38"/>
      <c r="B2" s="39" t="s">
        <v>22</v>
      </c>
      <c r="C2" s="38"/>
      <c r="D2" s="38"/>
      <c r="E2" s="98" t="s">
        <v>14</v>
      </c>
      <c r="F2" s="94"/>
      <c r="G2" s="95"/>
      <c r="H2" s="8"/>
      <c r="I2" s="8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9" t="s">
        <v>58</v>
      </c>
      <c r="B3" s="7"/>
      <c r="C3" s="7"/>
      <c r="D3" s="7"/>
      <c r="E3" s="9" t="s">
        <v>24</v>
      </c>
      <c r="F3" s="9"/>
      <c r="G3" s="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65" t="s">
        <v>265</v>
      </c>
      <c r="B4" s="14">
        <v>0</v>
      </c>
      <c r="C4" s="7"/>
      <c r="D4" s="7"/>
      <c r="E4" s="12">
        <v>5</v>
      </c>
      <c r="F4" s="12"/>
      <c r="G4" s="12"/>
      <c r="H4" s="7"/>
      <c r="I4" s="7"/>
      <c r="J4" s="41"/>
      <c r="K4" s="41"/>
      <c r="L4" s="41"/>
      <c r="M4" s="41"/>
      <c r="N4" s="41"/>
      <c r="O4" s="42" t="s">
        <v>16</v>
      </c>
      <c r="P4" s="42" t="s">
        <v>16</v>
      </c>
      <c r="Q4" s="42" t="s">
        <v>16</v>
      </c>
      <c r="R4" s="43" t="s">
        <v>221</v>
      </c>
      <c r="S4" s="41"/>
      <c r="T4" s="44"/>
      <c r="U4" s="44"/>
      <c r="V4" s="7"/>
      <c r="W4" s="7"/>
      <c r="X4" s="7"/>
      <c r="Y4" s="7"/>
      <c r="Z4" s="7"/>
    </row>
    <row r="5" spans="1:26" ht="15.75" thickBot="1" x14ac:dyDescent="0.3">
      <c r="A5" s="17" t="s">
        <v>21</v>
      </c>
      <c r="B5" s="15">
        <v>35</v>
      </c>
      <c r="C5" s="7"/>
      <c r="D5" s="7"/>
      <c r="E5" s="13">
        <v>0</v>
      </c>
      <c r="F5" s="13"/>
      <c r="G5" s="13"/>
      <c r="H5" s="7"/>
      <c r="I5" s="7"/>
      <c r="J5" s="41"/>
      <c r="K5" s="41"/>
      <c r="L5" s="45" t="s">
        <v>16</v>
      </c>
      <c r="M5" s="45" t="s">
        <v>16</v>
      </c>
      <c r="N5" s="46" t="s">
        <v>222</v>
      </c>
      <c r="O5" s="41"/>
      <c r="P5" s="41"/>
      <c r="Q5" s="41"/>
      <c r="R5" s="41"/>
      <c r="S5" s="47" t="s">
        <v>69</v>
      </c>
      <c r="T5" s="44"/>
      <c r="U5" s="44"/>
      <c r="V5" s="7"/>
      <c r="W5" s="7"/>
      <c r="X5" s="7"/>
      <c r="Y5" s="7"/>
      <c r="Z5" s="7"/>
    </row>
    <row r="6" spans="1:26" ht="15.75" thickBot="1" x14ac:dyDescent="0.3">
      <c r="A6" s="18" t="s">
        <v>266</v>
      </c>
      <c r="B6" s="16">
        <v>2</v>
      </c>
      <c r="C6" s="7"/>
      <c r="D6" s="7"/>
      <c r="E6" s="7" t="s">
        <v>122</v>
      </c>
      <c r="F6" s="7" t="s">
        <v>31</v>
      </c>
      <c r="G6" s="7" t="s">
        <v>170</v>
      </c>
      <c r="H6" s="7"/>
      <c r="I6" s="7"/>
      <c r="J6" s="37" t="s">
        <v>16</v>
      </c>
      <c r="K6" s="48" t="s">
        <v>16</v>
      </c>
      <c r="L6" s="41"/>
      <c r="M6" s="41"/>
      <c r="N6" s="41"/>
      <c r="O6" s="49" t="s">
        <v>16</v>
      </c>
      <c r="P6" s="49" t="s">
        <v>16</v>
      </c>
      <c r="Q6" s="49" t="s">
        <v>16</v>
      </c>
      <c r="R6" s="50" t="s">
        <v>224</v>
      </c>
      <c r="S6" s="41"/>
      <c r="T6" s="44"/>
      <c r="U6" s="44"/>
      <c r="V6" s="7"/>
      <c r="W6" s="7"/>
      <c r="X6" s="7"/>
      <c r="Y6" s="7"/>
      <c r="Z6" s="7"/>
    </row>
    <row r="7" spans="1:26" x14ac:dyDescent="0.25">
      <c r="A7" s="64" t="s">
        <v>269</v>
      </c>
      <c r="B7" s="60">
        <v>5</v>
      </c>
      <c r="C7" s="7"/>
      <c r="D7" s="7"/>
      <c r="E7" s="97"/>
      <c r="F7" s="97"/>
      <c r="G7" s="97"/>
      <c r="H7" s="7"/>
      <c r="I7" s="7"/>
      <c r="J7" s="41"/>
      <c r="K7" s="41"/>
      <c r="L7" s="51" t="s">
        <v>16</v>
      </c>
      <c r="M7" s="51" t="s">
        <v>16</v>
      </c>
      <c r="N7" s="52" t="s">
        <v>223</v>
      </c>
      <c r="O7" s="41"/>
      <c r="P7" s="41"/>
      <c r="Q7" s="41"/>
      <c r="R7" s="41"/>
      <c r="S7" s="47" t="s">
        <v>188</v>
      </c>
      <c r="T7" s="44"/>
      <c r="U7" s="44"/>
      <c r="V7" s="7"/>
      <c r="W7" s="7"/>
      <c r="X7" s="7"/>
      <c r="Y7" s="7"/>
      <c r="Z7" s="7"/>
    </row>
    <row r="8" spans="1:26" ht="15.75" thickBot="1" x14ac:dyDescent="0.3">
      <c r="A8" s="9" t="s">
        <v>262</v>
      </c>
      <c r="B8" s="96" t="s">
        <v>50</v>
      </c>
      <c r="C8" s="96"/>
      <c r="D8" s="96"/>
      <c r="E8" s="96"/>
      <c r="F8" s="96"/>
      <c r="G8" s="96"/>
      <c r="H8" s="20"/>
      <c r="I8" s="20"/>
      <c r="J8" s="41"/>
      <c r="K8" s="41"/>
      <c r="L8" s="41"/>
      <c r="M8" s="41"/>
      <c r="N8" s="41"/>
      <c r="O8" s="53" t="s">
        <v>16</v>
      </c>
      <c r="P8" s="53" t="s">
        <v>16</v>
      </c>
      <c r="Q8" s="53" t="s">
        <v>16</v>
      </c>
      <c r="R8" s="54" t="s">
        <v>225</v>
      </c>
      <c r="S8" s="41"/>
      <c r="T8" s="44"/>
      <c r="U8" s="44"/>
      <c r="V8" s="7"/>
      <c r="W8" s="7"/>
      <c r="X8" s="7"/>
      <c r="Y8" s="7"/>
      <c r="Z8" s="7"/>
    </row>
    <row r="9" spans="1:26" ht="14.65" customHeight="1" thickBot="1" x14ac:dyDescent="0.3">
      <c r="A9" s="5" t="s">
        <v>1</v>
      </c>
      <c r="B9" s="28" t="s">
        <v>0</v>
      </c>
      <c r="C9" s="29" t="s">
        <v>0</v>
      </c>
      <c r="D9" s="29" t="s">
        <v>5</v>
      </c>
      <c r="E9" s="29"/>
      <c r="F9" s="29" t="s">
        <v>0</v>
      </c>
      <c r="G9" s="29"/>
      <c r="H9" s="25" t="s">
        <v>5</v>
      </c>
      <c r="I9" s="7"/>
      <c r="J9" s="21"/>
      <c r="K9" s="7"/>
      <c r="L9" s="2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42" x14ac:dyDescent="0.25">
      <c r="A10" s="6" t="s">
        <v>55</v>
      </c>
      <c r="B10" s="30" t="s">
        <v>352</v>
      </c>
      <c r="C10" s="31" t="s">
        <v>352</v>
      </c>
      <c r="D10" s="31" t="s">
        <v>353</v>
      </c>
      <c r="E10" s="31"/>
      <c r="F10" s="31" t="s">
        <v>352</v>
      </c>
      <c r="G10" s="31"/>
      <c r="H10" s="40" t="s">
        <v>261</v>
      </c>
      <c r="I10" s="24" t="s">
        <v>57</v>
      </c>
      <c r="J10" s="22"/>
      <c r="K10" s="7"/>
      <c r="L10" s="61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6" t="s">
        <v>56</v>
      </c>
      <c r="B11" s="32" t="s">
        <v>53</v>
      </c>
      <c r="C11" s="33" t="s">
        <v>53</v>
      </c>
      <c r="D11" s="33" t="s">
        <v>54</v>
      </c>
      <c r="E11" s="33"/>
      <c r="F11" s="33" t="s">
        <v>53</v>
      </c>
      <c r="G11" s="33"/>
      <c r="H11" s="25" t="s">
        <v>54</v>
      </c>
      <c r="I11" s="21"/>
      <c r="J11" s="21"/>
      <c r="K11" s="7"/>
      <c r="L11" s="62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7"/>
      <c r="B12" s="21"/>
      <c r="C12" s="21"/>
      <c r="D12" s="21"/>
      <c r="E12" s="21"/>
      <c r="F12" s="21"/>
      <c r="G12" s="21"/>
      <c r="H12" s="7"/>
      <c r="I12" s="7"/>
      <c r="J12" s="7"/>
      <c r="K12" s="7"/>
      <c r="L12" s="62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56"/>
      <c r="B13" s="7"/>
      <c r="C13" s="7"/>
      <c r="D13" s="7"/>
      <c r="E13" s="7"/>
      <c r="F13" s="7"/>
      <c r="G13" s="7"/>
      <c r="H13" s="7"/>
      <c r="I13" s="7"/>
      <c r="J13" s="7"/>
      <c r="K13" s="7"/>
      <c r="L13" s="62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57"/>
      <c r="B14" s="7"/>
      <c r="C14" s="7"/>
      <c r="D14" s="7"/>
      <c r="E14" s="7"/>
      <c r="F14" s="7"/>
      <c r="G14" s="7"/>
      <c r="H14" s="7"/>
      <c r="I14" s="7"/>
      <c r="J14" s="7"/>
      <c r="K14" s="7"/>
      <c r="L14" s="62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5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</sheetData>
  <mergeCells count="2">
    <mergeCell ref="B8:G8"/>
    <mergeCell ref="E7:G7"/>
  </mergeCells>
  <conditionalFormatting sqref="C2:D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layTheSpire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EDE9-0329-4BE4-AB94-BE3FB1825291}">
  <sheetPr codeName="Sheet9"/>
  <dimension ref="A1:N29"/>
  <sheetViews>
    <sheetView topLeftCell="A2" workbookViewId="0">
      <selection activeCell="A9" sqref="A9"/>
    </sheetView>
  </sheetViews>
  <sheetFormatPr baseColWidth="10" defaultColWidth="8.7109375" defaultRowHeight="15" x14ac:dyDescent="0.25"/>
  <cols>
    <col min="1" max="16384" width="8.7109375" style="7"/>
  </cols>
  <sheetData>
    <row r="1" spans="1:14" x14ac:dyDescent="0.25">
      <c r="A1" s="27" t="s">
        <v>96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25">
      <c r="A2" s="27" t="s">
        <v>97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x14ac:dyDescent="0.25">
      <c r="A3" s="27" t="s">
        <v>98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14" x14ac:dyDescent="0.25">
      <c r="A4" s="27" t="s">
        <v>99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x14ac:dyDescent="0.25">
      <c r="A6" s="27" t="s">
        <v>100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</row>
    <row r="7" spans="1:14" x14ac:dyDescent="0.25">
      <c r="A7" s="27" t="s">
        <v>101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x14ac:dyDescent="0.25">
      <c r="A8" s="27" t="s">
        <v>374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</row>
    <row r="9" spans="1:14" x14ac:dyDescent="0.25">
      <c r="A9" s="63" t="s">
        <v>280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</row>
    <row r="10" spans="1:14" x14ac:dyDescent="0.25">
      <c r="A10" s="27" t="s">
        <v>279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</row>
    <row r="11" spans="1:14" x14ac:dyDescent="0.25">
      <c r="A11" s="27" t="s">
        <v>278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4" x14ac:dyDescent="0.25">
      <c r="A12" s="27" t="s">
        <v>277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4" x14ac:dyDescent="0.25">
      <c r="A13" s="27" t="s">
        <v>276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4" x14ac:dyDescent="0.25">
      <c r="A14" s="27" t="s">
        <v>275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4" x14ac:dyDescent="0.25">
      <c r="A15" s="27" t="s">
        <v>274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4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25">
      <c r="A17" s="27" t="s">
        <v>102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25">
      <c r="A18" s="27" t="s">
        <v>146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25">
      <c r="A19" s="27" t="s">
        <v>144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25">
      <c r="A21" s="27" t="s">
        <v>145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9D6-34AE-4DFB-993B-398F59BEDE42}">
  <sheetPr codeName="Sheet2"/>
  <dimension ref="A1:H37"/>
  <sheetViews>
    <sheetView zoomScale="80" zoomScaleNormal="80" workbookViewId="0">
      <selection activeCell="D18" sqref="D18"/>
    </sheetView>
  </sheetViews>
  <sheetFormatPr baseColWidth="10" defaultColWidth="8.85546875" defaultRowHeight="15" x14ac:dyDescent="0.25"/>
  <cols>
    <col min="1" max="1" width="15.5703125" bestFit="1" customWidth="1"/>
    <col min="3" max="3" width="5.7109375" bestFit="1" customWidth="1"/>
    <col min="4" max="4" width="28.85546875" bestFit="1" customWidth="1"/>
    <col min="5" max="5" width="51.85546875" bestFit="1" customWidth="1"/>
  </cols>
  <sheetData>
    <row r="1" spans="1:8" x14ac:dyDescent="0.25">
      <c r="A1" s="2" t="s">
        <v>9</v>
      </c>
      <c r="B1" s="2" t="s">
        <v>10</v>
      </c>
      <c r="C1" s="2" t="s">
        <v>11</v>
      </c>
      <c r="D1" s="2" t="s">
        <v>38</v>
      </c>
      <c r="E1" s="2" t="s">
        <v>12</v>
      </c>
      <c r="F1" s="2" t="s">
        <v>147</v>
      </c>
      <c r="G1" s="2" t="s">
        <v>148</v>
      </c>
      <c r="H1" s="59" t="s">
        <v>268</v>
      </c>
    </row>
    <row r="2" spans="1:8" x14ac:dyDescent="0.25">
      <c r="A2" s="1" t="s">
        <v>23</v>
      </c>
      <c r="B2" s="1" t="s">
        <v>47</v>
      </c>
      <c r="C2" s="75" t="s">
        <v>13</v>
      </c>
      <c r="D2" s="1" t="s">
        <v>62</v>
      </c>
      <c r="E2" s="1" t="s">
        <v>31</v>
      </c>
      <c r="F2" s="1">
        <v>32</v>
      </c>
      <c r="G2" s="1">
        <v>40</v>
      </c>
      <c r="H2" s="1">
        <v>-4107</v>
      </c>
    </row>
    <row r="3" spans="1:8" x14ac:dyDescent="0.25">
      <c r="A3" s="1" t="s">
        <v>24</v>
      </c>
      <c r="B3" s="1" t="s">
        <v>79</v>
      </c>
      <c r="C3" s="76" t="s">
        <v>14</v>
      </c>
      <c r="D3" s="1" t="s">
        <v>118</v>
      </c>
      <c r="E3" s="1" t="s">
        <v>117</v>
      </c>
      <c r="F3" s="1">
        <v>192</v>
      </c>
      <c r="G3" s="1">
        <v>26</v>
      </c>
      <c r="H3" s="1">
        <v>-4107</v>
      </c>
    </row>
    <row r="4" spans="1:8" x14ac:dyDescent="0.25">
      <c r="A4" s="1" t="s">
        <v>25</v>
      </c>
      <c r="B4" s="1" t="s">
        <v>80</v>
      </c>
      <c r="C4" s="77" t="s">
        <v>15</v>
      </c>
      <c r="D4" s="1" t="s">
        <v>288</v>
      </c>
      <c r="E4" s="1" t="s">
        <v>68</v>
      </c>
      <c r="F4" s="1">
        <v>12566463</v>
      </c>
      <c r="G4" s="1">
        <v>26</v>
      </c>
      <c r="H4" s="1">
        <v>-4107</v>
      </c>
    </row>
    <row r="5" spans="1:8" x14ac:dyDescent="0.25">
      <c r="A5" s="1" t="s">
        <v>26</v>
      </c>
      <c r="B5" s="1" t="s">
        <v>48</v>
      </c>
      <c r="C5" s="78" t="s">
        <v>16</v>
      </c>
      <c r="D5" s="1" t="s">
        <v>60</v>
      </c>
      <c r="E5" s="1" t="s">
        <v>45</v>
      </c>
      <c r="F5" s="1">
        <v>14277081</v>
      </c>
      <c r="G5" s="1">
        <v>26</v>
      </c>
      <c r="H5" s="1">
        <v>-4107</v>
      </c>
    </row>
    <row r="6" spans="1:8" x14ac:dyDescent="0.25">
      <c r="A6" s="1" t="s">
        <v>27</v>
      </c>
      <c r="B6" s="1" t="s">
        <v>49</v>
      </c>
      <c r="C6" s="79" t="s">
        <v>17</v>
      </c>
      <c r="D6" s="1" t="s">
        <v>40</v>
      </c>
      <c r="E6" s="1" t="s">
        <v>40</v>
      </c>
      <c r="F6" s="1">
        <v>15921906</v>
      </c>
      <c r="G6" s="1">
        <v>26</v>
      </c>
      <c r="H6" s="1">
        <v>-4108</v>
      </c>
    </row>
    <row r="7" spans="1:8" x14ac:dyDescent="0.25">
      <c r="A7" s="1" t="s">
        <v>28</v>
      </c>
      <c r="B7" s="1" t="s">
        <v>81</v>
      </c>
      <c r="C7" s="80" t="s">
        <v>18</v>
      </c>
      <c r="D7" s="1" t="s">
        <v>63</v>
      </c>
      <c r="E7" s="1" t="s">
        <v>46</v>
      </c>
      <c r="F7" s="1">
        <v>2315831</v>
      </c>
      <c r="G7" s="1">
        <v>26</v>
      </c>
      <c r="H7" s="1">
        <v>-4107</v>
      </c>
    </row>
    <row r="8" spans="1:8" x14ac:dyDescent="0.25">
      <c r="A8" s="1" t="s">
        <v>29</v>
      </c>
      <c r="B8" s="1" t="s">
        <v>77</v>
      </c>
      <c r="C8" s="81" t="s">
        <v>19</v>
      </c>
      <c r="D8" s="1" t="s">
        <v>44</v>
      </c>
      <c r="E8" s="1" t="s">
        <v>267</v>
      </c>
      <c r="F8" s="1">
        <v>2500134</v>
      </c>
      <c r="G8" s="1">
        <v>26</v>
      </c>
      <c r="H8" s="1">
        <v>-4107</v>
      </c>
    </row>
    <row r="9" spans="1:8" x14ac:dyDescent="0.25">
      <c r="A9" s="1" t="s">
        <v>30</v>
      </c>
      <c r="B9" s="1" t="s">
        <v>82</v>
      </c>
      <c r="C9" s="82" t="s">
        <v>20</v>
      </c>
      <c r="D9" s="1" t="s">
        <v>119</v>
      </c>
      <c r="E9" s="1" t="s">
        <v>116</v>
      </c>
      <c r="F9" s="1">
        <v>6740479</v>
      </c>
      <c r="G9" s="1">
        <v>14</v>
      </c>
      <c r="H9" s="1">
        <v>-4108</v>
      </c>
    </row>
    <row r="10" spans="1:8" x14ac:dyDescent="0.25">
      <c r="A10" s="1" t="s">
        <v>73</v>
      </c>
      <c r="B10" s="1" t="s">
        <v>334</v>
      </c>
      <c r="C10" s="83" t="s">
        <v>69</v>
      </c>
      <c r="D10" s="1" t="s">
        <v>87</v>
      </c>
      <c r="E10" s="1" t="s">
        <v>329</v>
      </c>
      <c r="F10" s="1">
        <v>0</v>
      </c>
      <c r="G10" s="1">
        <v>48</v>
      </c>
      <c r="H10" s="1">
        <v>-4107</v>
      </c>
    </row>
    <row r="11" spans="1:8" x14ac:dyDescent="0.25">
      <c r="A11" s="1" t="s">
        <v>74</v>
      </c>
      <c r="B11" s="1" t="s">
        <v>78</v>
      </c>
      <c r="C11" s="84" t="s">
        <v>70</v>
      </c>
      <c r="D11" s="1" t="s">
        <v>32</v>
      </c>
      <c r="E11" s="1" t="s">
        <v>32</v>
      </c>
      <c r="F11" s="1">
        <v>5855577</v>
      </c>
      <c r="G11" s="1">
        <v>20</v>
      </c>
      <c r="H11" s="1">
        <v>-4160</v>
      </c>
    </row>
    <row r="12" spans="1:8" x14ac:dyDescent="0.25">
      <c r="A12" s="1" t="s">
        <v>75</v>
      </c>
      <c r="B12" s="1" t="s">
        <v>341</v>
      </c>
      <c r="C12" s="85" t="s">
        <v>71</v>
      </c>
      <c r="D12" s="1" t="s">
        <v>110</v>
      </c>
      <c r="E12" s="1" t="s">
        <v>88</v>
      </c>
      <c r="F12" s="1">
        <v>24704</v>
      </c>
      <c r="G12" s="1">
        <v>30</v>
      </c>
      <c r="H12" s="1">
        <v>-4107</v>
      </c>
    </row>
    <row r="13" spans="1:8" x14ac:dyDescent="0.25">
      <c r="A13" s="1" t="s">
        <v>76</v>
      </c>
      <c r="B13" s="1" t="s">
        <v>84</v>
      </c>
      <c r="C13" s="86" t="s">
        <v>72</v>
      </c>
      <c r="D13" s="1" t="s">
        <v>85</v>
      </c>
      <c r="E13" s="1" t="s">
        <v>83</v>
      </c>
      <c r="F13" s="1">
        <v>6299648</v>
      </c>
      <c r="G13" s="1">
        <v>26</v>
      </c>
      <c r="H13" s="1">
        <v>-4107</v>
      </c>
    </row>
    <row r="14" spans="1:8" x14ac:dyDescent="0.25">
      <c r="A14" s="1" t="s">
        <v>114</v>
      </c>
      <c r="B14" s="1" t="s">
        <v>115</v>
      </c>
      <c r="C14" s="87" t="s">
        <v>113</v>
      </c>
      <c r="D14" s="1" t="s">
        <v>120</v>
      </c>
      <c r="E14" s="1" t="s">
        <v>121</v>
      </c>
      <c r="F14" s="1">
        <v>8092539</v>
      </c>
      <c r="G14" s="1">
        <v>40</v>
      </c>
      <c r="H14" s="1">
        <v>-4107</v>
      </c>
    </row>
    <row r="15" spans="1:8" x14ac:dyDescent="0.25">
      <c r="A15" s="1" t="s">
        <v>155</v>
      </c>
      <c r="B15" s="1" t="s">
        <v>187</v>
      </c>
      <c r="C15" s="88" t="s">
        <v>149</v>
      </c>
      <c r="D15" s="1" t="s">
        <v>308</v>
      </c>
      <c r="E15" s="1" t="s">
        <v>336</v>
      </c>
      <c r="F15" s="1">
        <v>801923</v>
      </c>
      <c r="G15" s="1">
        <v>48</v>
      </c>
      <c r="H15" s="1">
        <v>-4107</v>
      </c>
    </row>
    <row r="16" spans="1:8" x14ac:dyDescent="0.25">
      <c r="A16" s="1" t="s">
        <v>156</v>
      </c>
      <c r="B16" s="1" t="s">
        <v>182</v>
      </c>
      <c r="C16" s="88" t="s">
        <v>151</v>
      </c>
      <c r="D16" s="1" t="s">
        <v>263</v>
      </c>
      <c r="E16" s="1" t="s">
        <v>263</v>
      </c>
      <c r="F16" s="1">
        <v>801923</v>
      </c>
      <c r="G16" s="1">
        <v>20</v>
      </c>
      <c r="H16" s="1">
        <v>-4107</v>
      </c>
    </row>
    <row r="17" spans="1:8" x14ac:dyDescent="0.25">
      <c r="A17" s="1" t="s">
        <v>158</v>
      </c>
      <c r="B17" s="1" t="s">
        <v>183</v>
      </c>
      <c r="C17" s="88" t="s">
        <v>150</v>
      </c>
      <c r="D17" s="1" t="s">
        <v>456</v>
      </c>
      <c r="E17" s="1" t="s">
        <v>457</v>
      </c>
      <c r="F17" s="1">
        <v>801923</v>
      </c>
      <c r="G17" s="1">
        <v>30</v>
      </c>
      <c r="H17" s="1">
        <v>-4107</v>
      </c>
    </row>
    <row r="18" spans="1:8" x14ac:dyDescent="0.25">
      <c r="A18" s="1" t="s">
        <v>159</v>
      </c>
      <c r="B18" s="1" t="s">
        <v>184</v>
      </c>
      <c r="C18" s="88" t="s">
        <v>152</v>
      </c>
      <c r="D18" s="1" t="s">
        <v>315</v>
      </c>
      <c r="E18" s="1" t="s">
        <v>315</v>
      </c>
      <c r="F18" s="1">
        <v>801923</v>
      </c>
      <c r="G18" s="1">
        <v>26</v>
      </c>
      <c r="H18" s="1">
        <v>-4107</v>
      </c>
    </row>
    <row r="19" spans="1:8" x14ac:dyDescent="0.25">
      <c r="A19" s="1" t="s">
        <v>157</v>
      </c>
      <c r="B19" s="1" t="s">
        <v>185</v>
      </c>
      <c r="C19" s="89" t="s">
        <v>153</v>
      </c>
      <c r="D19" s="1" t="s">
        <v>162</v>
      </c>
      <c r="E19" s="1" t="s">
        <v>162</v>
      </c>
      <c r="F19" s="1">
        <v>10498160</v>
      </c>
      <c r="G19" s="1">
        <v>40</v>
      </c>
      <c r="H19" s="1">
        <v>-4108</v>
      </c>
    </row>
    <row r="20" spans="1:8" x14ac:dyDescent="0.25">
      <c r="A20" s="1" t="s">
        <v>160</v>
      </c>
      <c r="B20" s="1" t="s">
        <v>186</v>
      </c>
      <c r="C20" s="90" t="s">
        <v>154</v>
      </c>
      <c r="D20" s="1" t="s">
        <v>164</v>
      </c>
      <c r="E20" s="1" t="s">
        <v>164</v>
      </c>
      <c r="F20" s="1">
        <v>36799</v>
      </c>
      <c r="G20" s="1">
        <v>20</v>
      </c>
      <c r="H20" s="1">
        <v>-4107</v>
      </c>
    </row>
    <row r="21" spans="1:8" x14ac:dyDescent="0.25">
      <c r="A21" s="1" t="s">
        <v>204</v>
      </c>
      <c r="B21" s="1" t="s">
        <v>82</v>
      </c>
      <c r="C21" s="90" t="s">
        <v>203</v>
      </c>
      <c r="D21" s="1" t="s">
        <v>205</v>
      </c>
      <c r="E21" s="1" t="s">
        <v>205</v>
      </c>
      <c r="F21" s="1">
        <v>36799</v>
      </c>
      <c r="G21" s="1">
        <v>20</v>
      </c>
      <c r="H21" s="1">
        <v>-4107</v>
      </c>
    </row>
    <row r="22" spans="1:8" x14ac:dyDescent="0.25">
      <c r="A22" s="1" t="s">
        <v>195</v>
      </c>
      <c r="B22" s="1" t="s">
        <v>209</v>
      </c>
      <c r="C22" s="91" t="s">
        <v>189</v>
      </c>
      <c r="D22" s="1" t="s">
        <v>198</v>
      </c>
      <c r="E22" s="1" t="s">
        <v>260</v>
      </c>
      <c r="F22" s="1">
        <v>888063</v>
      </c>
      <c r="G22" s="1">
        <v>10</v>
      </c>
      <c r="H22" s="1">
        <v>-4108</v>
      </c>
    </row>
    <row r="23" spans="1:8" x14ac:dyDescent="0.25">
      <c r="A23" s="1" t="s">
        <v>194</v>
      </c>
      <c r="B23" s="1" t="s">
        <v>212</v>
      </c>
      <c r="C23" s="76" t="s">
        <v>190</v>
      </c>
      <c r="D23" s="1" t="s">
        <v>282</v>
      </c>
      <c r="E23" s="1" t="s">
        <v>264</v>
      </c>
      <c r="F23" s="1">
        <v>192</v>
      </c>
      <c r="G23" s="1">
        <v>20</v>
      </c>
      <c r="H23" s="1">
        <v>-4107</v>
      </c>
    </row>
    <row r="24" spans="1:8" x14ac:dyDescent="0.25">
      <c r="A24" s="1" t="s">
        <v>220</v>
      </c>
      <c r="B24" s="1" t="s">
        <v>218</v>
      </c>
      <c r="C24" s="85" t="s">
        <v>191</v>
      </c>
      <c r="D24" s="1" t="s">
        <v>214</v>
      </c>
      <c r="E24" s="1" t="s">
        <v>213</v>
      </c>
      <c r="F24" s="1">
        <v>24704</v>
      </c>
      <c r="G24" s="1">
        <v>36</v>
      </c>
      <c r="H24" s="1">
        <v>-4160</v>
      </c>
    </row>
    <row r="25" spans="1:8" x14ac:dyDescent="0.25">
      <c r="A25" s="1" t="s">
        <v>202</v>
      </c>
      <c r="B25" s="1" t="s">
        <v>335</v>
      </c>
      <c r="C25" s="36" t="s">
        <v>188</v>
      </c>
      <c r="D25" s="1" t="s">
        <v>206</v>
      </c>
      <c r="E25" s="1" t="s">
        <v>310</v>
      </c>
      <c r="F25" s="1">
        <v>11184814</v>
      </c>
      <c r="G25" s="1">
        <v>48</v>
      </c>
      <c r="H25" s="1">
        <v>-4160</v>
      </c>
    </row>
    <row r="26" spans="1:8" x14ac:dyDescent="0.25">
      <c r="A26" s="1" t="s">
        <v>258</v>
      </c>
      <c r="B26" s="1" t="s">
        <v>217</v>
      </c>
      <c r="C26" s="92" t="s">
        <v>192</v>
      </c>
      <c r="D26" s="1" t="s">
        <v>31</v>
      </c>
      <c r="E26" s="1" t="s">
        <v>337</v>
      </c>
      <c r="F26" s="1">
        <v>6968388</v>
      </c>
      <c r="G26" s="1">
        <v>48</v>
      </c>
      <c r="H26" s="1">
        <v>-4107</v>
      </c>
    </row>
    <row r="27" spans="1:8" x14ac:dyDescent="0.25">
      <c r="A27" s="1" t="s">
        <v>259</v>
      </c>
      <c r="B27" s="1" t="s">
        <v>209</v>
      </c>
      <c r="C27" s="92" t="s">
        <v>192</v>
      </c>
      <c r="D27" s="1" t="s">
        <v>0</v>
      </c>
      <c r="E27" s="1" t="s">
        <v>0</v>
      </c>
      <c r="F27" s="1">
        <v>6968388</v>
      </c>
      <c r="G27" s="1">
        <v>12</v>
      </c>
      <c r="H27" s="1">
        <v>-4107</v>
      </c>
    </row>
    <row r="28" spans="1:8" x14ac:dyDescent="0.25">
      <c r="A28" s="1" t="s">
        <v>196</v>
      </c>
      <c r="B28" s="1" t="s">
        <v>219</v>
      </c>
      <c r="C28" s="93" t="s">
        <v>193</v>
      </c>
      <c r="D28" s="1" t="s">
        <v>206</v>
      </c>
      <c r="E28" s="1" t="s">
        <v>206</v>
      </c>
      <c r="F28" s="1">
        <v>5296274</v>
      </c>
      <c r="G28" s="1">
        <v>12</v>
      </c>
      <c r="H28" s="1">
        <v>-4107</v>
      </c>
    </row>
    <row r="29" spans="1:8" x14ac:dyDescent="0.25">
      <c r="A29" s="74" t="s">
        <v>301</v>
      </c>
      <c r="B29" s="74" t="s">
        <v>84</v>
      </c>
      <c r="C29" s="80" t="s">
        <v>289</v>
      </c>
      <c r="D29" s="74" t="s">
        <v>88</v>
      </c>
      <c r="E29" s="74" t="s">
        <v>308</v>
      </c>
      <c r="F29" s="1">
        <v>2315831</v>
      </c>
      <c r="G29" s="74">
        <v>26</v>
      </c>
      <c r="H29" s="1">
        <v>-4107</v>
      </c>
    </row>
    <row r="30" spans="1:8" x14ac:dyDescent="0.25">
      <c r="A30" s="1" t="s">
        <v>300</v>
      </c>
      <c r="B30" s="1" t="s">
        <v>115</v>
      </c>
      <c r="C30" s="85" t="s">
        <v>290</v>
      </c>
      <c r="D30" s="74" t="s">
        <v>314</v>
      </c>
      <c r="E30" s="1" t="s">
        <v>302</v>
      </c>
      <c r="F30" s="1">
        <v>24704</v>
      </c>
      <c r="G30" s="1">
        <v>36</v>
      </c>
      <c r="H30" s="1">
        <v>-4107</v>
      </c>
    </row>
    <row r="31" spans="1:8" x14ac:dyDescent="0.25">
      <c r="A31" s="1" t="s">
        <v>299</v>
      </c>
      <c r="B31" s="1" t="s">
        <v>182</v>
      </c>
      <c r="C31" s="80" t="s">
        <v>291</v>
      </c>
      <c r="D31" s="74" t="s">
        <v>309</v>
      </c>
      <c r="E31" s="1" t="s">
        <v>303</v>
      </c>
      <c r="F31" s="1">
        <v>2315831</v>
      </c>
      <c r="G31" s="1">
        <v>20</v>
      </c>
      <c r="H31" s="1">
        <v>-4107</v>
      </c>
    </row>
    <row r="32" spans="1:8" x14ac:dyDescent="0.25">
      <c r="A32" s="1" t="s">
        <v>293</v>
      </c>
      <c r="B32" s="1" t="s">
        <v>294</v>
      </c>
      <c r="C32" s="83" t="s">
        <v>292</v>
      </c>
      <c r="D32" s="1" t="s">
        <v>206</v>
      </c>
      <c r="E32" s="1" t="s">
        <v>419</v>
      </c>
      <c r="F32" s="1">
        <v>11184814</v>
      </c>
      <c r="G32" s="1">
        <v>16</v>
      </c>
      <c r="H32" s="1">
        <v>-4108</v>
      </c>
    </row>
    <row r="33" spans="1:8" x14ac:dyDescent="0.25">
      <c r="A33" s="1" t="s">
        <v>296</v>
      </c>
      <c r="B33" s="1" t="s">
        <v>305</v>
      </c>
      <c r="C33" s="89" t="s">
        <v>295</v>
      </c>
      <c r="D33" s="1" t="s">
        <v>306</v>
      </c>
      <c r="E33" s="1" t="s">
        <v>307</v>
      </c>
      <c r="F33" s="1">
        <v>10498160</v>
      </c>
      <c r="G33" s="1">
        <v>26</v>
      </c>
      <c r="H33" s="1">
        <v>-4107</v>
      </c>
    </row>
    <row r="34" spans="1:8" x14ac:dyDescent="0.25">
      <c r="A34" s="1" t="s">
        <v>298</v>
      </c>
      <c r="B34" s="1" t="s">
        <v>49</v>
      </c>
      <c r="C34" s="83" t="s">
        <v>297</v>
      </c>
      <c r="D34" s="1" t="s">
        <v>107</v>
      </c>
      <c r="E34" s="1" t="s">
        <v>304</v>
      </c>
      <c r="F34" s="1">
        <v>0</v>
      </c>
      <c r="G34" s="1">
        <v>12</v>
      </c>
      <c r="H34" s="1">
        <v>-4107</v>
      </c>
    </row>
    <row r="35" spans="1:8" x14ac:dyDescent="0.25">
      <c r="A35" s="74" t="s">
        <v>440</v>
      </c>
      <c r="B35" s="74" t="s">
        <v>80</v>
      </c>
      <c r="C35" s="1" t="s">
        <v>437</v>
      </c>
      <c r="D35" s="74" t="s">
        <v>446</v>
      </c>
      <c r="E35" s="74" t="s">
        <v>446</v>
      </c>
      <c r="F35" s="1">
        <v>36799</v>
      </c>
      <c r="G35" s="74">
        <v>16</v>
      </c>
      <c r="H35" s="1">
        <v>-4107</v>
      </c>
    </row>
    <row r="36" spans="1:8" x14ac:dyDescent="0.25">
      <c r="A36" s="74" t="s">
        <v>441</v>
      </c>
      <c r="B36" s="1" t="s">
        <v>444</v>
      </c>
      <c r="C36" s="1" t="s">
        <v>438</v>
      </c>
      <c r="D36" s="1" t="s">
        <v>445</v>
      </c>
      <c r="E36" s="1" t="s">
        <v>445</v>
      </c>
      <c r="F36" s="1">
        <v>10498160</v>
      </c>
      <c r="G36" s="74">
        <v>40</v>
      </c>
      <c r="H36" s="1">
        <v>-4107</v>
      </c>
    </row>
    <row r="37" spans="1:8" x14ac:dyDescent="0.25">
      <c r="A37" s="74" t="s">
        <v>442</v>
      </c>
      <c r="B37" s="1" t="s">
        <v>443</v>
      </c>
      <c r="C37" s="1" t="s">
        <v>439</v>
      </c>
      <c r="D37" s="1" t="s">
        <v>447</v>
      </c>
      <c r="E37" s="1" t="s">
        <v>447</v>
      </c>
      <c r="F37" s="1">
        <v>2500134</v>
      </c>
      <c r="G37" s="74">
        <v>20</v>
      </c>
      <c r="H37" s="1">
        <v>-4107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492C-11EC-46CE-87DA-FB4F12E57E1C}">
  <sheetPr codeName="Sheet3"/>
  <dimension ref="A1:T32"/>
  <sheetViews>
    <sheetView zoomScale="85" zoomScaleNormal="85" workbookViewId="0">
      <selection activeCell="E10" sqref="E10"/>
    </sheetView>
  </sheetViews>
  <sheetFormatPr baseColWidth="10" defaultColWidth="8.85546875" defaultRowHeight="15" x14ac:dyDescent="0.25"/>
  <cols>
    <col min="1" max="1" width="9.28515625" bestFit="1" customWidth="1"/>
    <col min="2" max="3" width="11.42578125" bestFit="1" customWidth="1"/>
    <col min="4" max="4" width="8.5703125" bestFit="1" customWidth="1"/>
    <col min="5" max="5" width="8.85546875" bestFit="1" customWidth="1"/>
    <col min="6" max="6" width="8.42578125" bestFit="1" customWidth="1"/>
  </cols>
  <sheetData>
    <row r="1" spans="1:20" ht="13.9" customHeight="1" x14ac:dyDescent="0.25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201</v>
      </c>
    </row>
    <row r="2" spans="1:20" x14ac:dyDescent="0.25">
      <c r="A2" s="1" t="s">
        <v>30</v>
      </c>
      <c r="B2" s="1"/>
      <c r="C2" s="1"/>
      <c r="D2" s="1">
        <v>1</v>
      </c>
      <c r="E2" s="1">
        <v>1</v>
      </c>
      <c r="F2" s="66">
        <v>6</v>
      </c>
    </row>
    <row r="3" spans="1:20" x14ac:dyDescent="0.25">
      <c r="A3" s="1" t="s">
        <v>24</v>
      </c>
      <c r="B3" s="1"/>
      <c r="C3" s="1"/>
      <c r="D3" s="1">
        <v>1</v>
      </c>
      <c r="E3" s="1">
        <v>1</v>
      </c>
      <c r="F3" s="66">
        <v>6</v>
      </c>
    </row>
    <row r="4" spans="1:20" x14ac:dyDescent="0.25">
      <c r="A4" s="1" t="s">
        <v>25</v>
      </c>
      <c r="B4" s="1"/>
      <c r="C4" s="1"/>
      <c r="D4" s="1">
        <v>2</v>
      </c>
      <c r="E4" s="1">
        <v>2</v>
      </c>
      <c r="F4" s="66">
        <v>6</v>
      </c>
    </row>
    <row r="5" spans="1:20" x14ac:dyDescent="0.25">
      <c r="A5" s="1" t="s">
        <v>28</v>
      </c>
      <c r="B5" s="1" t="s">
        <v>28</v>
      </c>
      <c r="C5" s="1" t="s">
        <v>26</v>
      </c>
      <c r="D5" s="1">
        <v>3</v>
      </c>
      <c r="E5" s="1">
        <v>4</v>
      </c>
      <c r="F5" s="68">
        <v>5</v>
      </c>
    </row>
    <row r="6" spans="1:20" x14ac:dyDescent="0.25">
      <c r="A6" s="1" t="s">
        <v>26</v>
      </c>
      <c r="B6" s="1" t="s">
        <v>26</v>
      </c>
      <c r="C6" s="1" t="s">
        <v>28</v>
      </c>
      <c r="D6" s="1">
        <v>3</v>
      </c>
      <c r="E6" s="1">
        <v>4</v>
      </c>
      <c r="F6" s="68">
        <v>5</v>
      </c>
    </row>
    <row r="7" spans="1:20" x14ac:dyDescent="0.25">
      <c r="A7" s="1" t="s">
        <v>27</v>
      </c>
      <c r="B7" s="1" t="s">
        <v>27</v>
      </c>
      <c r="C7" s="1" t="s">
        <v>27</v>
      </c>
      <c r="D7" s="1">
        <v>3</v>
      </c>
      <c r="E7" s="1">
        <v>4</v>
      </c>
      <c r="F7" s="68">
        <v>5</v>
      </c>
    </row>
    <row r="8" spans="1:20" x14ac:dyDescent="0.25">
      <c r="A8" s="1" t="s">
        <v>74</v>
      </c>
      <c r="B8" s="1" t="s">
        <v>27</v>
      </c>
      <c r="C8" s="1" t="s">
        <v>28</v>
      </c>
      <c r="D8" s="1">
        <v>3</v>
      </c>
      <c r="E8" s="1">
        <v>4</v>
      </c>
      <c r="F8" s="68">
        <v>5</v>
      </c>
    </row>
    <row r="9" spans="1:20" x14ac:dyDescent="0.25">
      <c r="A9" s="1" t="s">
        <v>75</v>
      </c>
      <c r="B9" s="1" t="s">
        <v>75</v>
      </c>
      <c r="C9" s="1"/>
      <c r="D9" s="1">
        <v>3</v>
      </c>
      <c r="E9" s="1">
        <v>4</v>
      </c>
      <c r="F9" s="67">
        <v>7</v>
      </c>
    </row>
    <row r="10" spans="1:20" x14ac:dyDescent="0.25">
      <c r="A10" s="1" t="s">
        <v>299</v>
      </c>
      <c r="B10" s="1" t="s">
        <v>299</v>
      </c>
      <c r="C10" s="1"/>
      <c r="D10" s="1">
        <v>3</v>
      </c>
      <c r="E10" s="1">
        <v>4</v>
      </c>
      <c r="F10" s="67">
        <v>7</v>
      </c>
    </row>
    <row r="11" spans="1:20" x14ac:dyDescent="0.25">
      <c r="A11" s="1" t="s">
        <v>156</v>
      </c>
      <c r="B11" s="1" t="s">
        <v>156</v>
      </c>
      <c r="C11" s="1"/>
      <c r="D11" s="1">
        <v>3</v>
      </c>
      <c r="E11" s="1">
        <v>4</v>
      </c>
      <c r="F11" s="67">
        <v>7</v>
      </c>
    </row>
    <row r="12" spans="1:20" x14ac:dyDescent="0.25">
      <c r="A12" s="1" t="s">
        <v>156</v>
      </c>
      <c r="B12" s="1" t="s">
        <v>159</v>
      </c>
      <c r="C12" s="1"/>
      <c r="D12" s="1">
        <v>3</v>
      </c>
      <c r="E12" s="1">
        <v>4</v>
      </c>
      <c r="F12" s="67">
        <v>7</v>
      </c>
    </row>
    <row r="13" spans="1:20" x14ac:dyDescent="0.25">
      <c r="A13" s="1" t="s">
        <v>74</v>
      </c>
      <c r="B13" s="1" t="s">
        <v>29</v>
      </c>
      <c r="C13" s="1" t="s">
        <v>74</v>
      </c>
      <c r="D13" s="1">
        <v>5</v>
      </c>
      <c r="E13" s="1">
        <v>5</v>
      </c>
      <c r="F13" s="69">
        <v>5</v>
      </c>
    </row>
    <row r="14" spans="1:20" x14ac:dyDescent="0.25">
      <c r="A14" s="1" t="s">
        <v>156</v>
      </c>
      <c r="B14" s="1" t="s">
        <v>158</v>
      </c>
      <c r="C14" s="1" t="s">
        <v>159</v>
      </c>
      <c r="D14" s="1">
        <v>5</v>
      </c>
      <c r="E14" s="1">
        <v>5</v>
      </c>
      <c r="F14" s="67">
        <v>7</v>
      </c>
      <c r="O14" t="s">
        <v>450</v>
      </c>
      <c r="P14" t="s">
        <v>450</v>
      </c>
      <c r="Q14" t="s">
        <v>450</v>
      </c>
      <c r="R14" t="s">
        <v>450</v>
      </c>
      <c r="S14" t="s">
        <v>450</v>
      </c>
      <c r="T14" t="s">
        <v>450</v>
      </c>
    </row>
    <row r="15" spans="1:20" x14ac:dyDescent="0.25">
      <c r="A15" s="1" t="s">
        <v>259</v>
      </c>
      <c r="B15" s="1" t="s">
        <v>258</v>
      </c>
      <c r="C15" s="1" t="s">
        <v>259</v>
      </c>
      <c r="D15" s="1">
        <v>6</v>
      </c>
      <c r="E15" s="1">
        <v>8</v>
      </c>
      <c r="F15" s="70">
        <v>4</v>
      </c>
      <c r="O15" t="s">
        <v>450</v>
      </c>
      <c r="P15" t="s">
        <v>450</v>
      </c>
      <c r="Q15" t="s">
        <v>450</v>
      </c>
      <c r="R15" t="s">
        <v>450</v>
      </c>
      <c r="S15" t="s">
        <v>450</v>
      </c>
      <c r="T15" t="s">
        <v>450</v>
      </c>
    </row>
    <row r="16" spans="1:20" x14ac:dyDescent="0.25">
      <c r="A16" s="1" t="s">
        <v>300</v>
      </c>
      <c r="B16" s="1" t="s">
        <v>300</v>
      </c>
      <c r="C16" s="1" t="s">
        <v>300</v>
      </c>
      <c r="D16" s="1">
        <v>6</v>
      </c>
      <c r="E16" s="1">
        <v>8</v>
      </c>
      <c r="F16" s="70">
        <v>4</v>
      </c>
      <c r="O16" t="s">
        <v>450</v>
      </c>
      <c r="P16" t="s">
        <v>450</v>
      </c>
      <c r="Q16" t="s">
        <v>450</v>
      </c>
      <c r="R16" t="s">
        <v>450</v>
      </c>
      <c r="S16" t="s">
        <v>450</v>
      </c>
      <c r="T16" t="s">
        <v>450</v>
      </c>
    </row>
    <row r="17" spans="1:20" x14ac:dyDescent="0.25">
      <c r="A17" s="1" t="s">
        <v>220</v>
      </c>
      <c r="B17" s="1"/>
      <c r="C17" s="1"/>
      <c r="D17" s="1">
        <v>6</v>
      </c>
      <c r="E17" s="1">
        <v>8</v>
      </c>
      <c r="F17" s="70">
        <v>4</v>
      </c>
      <c r="O17" t="s">
        <v>450</v>
      </c>
      <c r="P17" t="s">
        <v>450</v>
      </c>
      <c r="Q17" t="s">
        <v>450</v>
      </c>
      <c r="R17" t="s">
        <v>450</v>
      </c>
      <c r="S17" t="s">
        <v>450</v>
      </c>
      <c r="T17" t="s">
        <v>450</v>
      </c>
    </row>
    <row r="18" spans="1:20" x14ac:dyDescent="0.25">
      <c r="A18" s="1" t="s">
        <v>160</v>
      </c>
      <c r="B18" s="1" t="s">
        <v>204</v>
      </c>
      <c r="C18" s="1"/>
      <c r="D18" s="1">
        <v>6</v>
      </c>
      <c r="E18" s="1">
        <v>8</v>
      </c>
      <c r="F18" s="72">
        <v>6</v>
      </c>
      <c r="O18" t="s">
        <v>450</v>
      </c>
      <c r="P18" t="s">
        <v>450</v>
      </c>
      <c r="Q18" t="s">
        <v>450</v>
      </c>
      <c r="R18" t="s">
        <v>450</v>
      </c>
      <c r="S18" t="s">
        <v>450</v>
      </c>
      <c r="T18" t="s">
        <v>450</v>
      </c>
    </row>
    <row r="19" spans="1:20" ht="15" customHeight="1" x14ac:dyDescent="0.25">
      <c r="A19" s="1" t="s">
        <v>114</v>
      </c>
      <c r="B19" s="1" t="s">
        <v>114</v>
      </c>
      <c r="C19" s="1"/>
      <c r="D19" s="1">
        <v>6</v>
      </c>
      <c r="E19" s="1">
        <v>8</v>
      </c>
      <c r="F19" s="72">
        <v>6</v>
      </c>
      <c r="O19" t="s">
        <v>450</v>
      </c>
      <c r="P19" t="s">
        <v>450</v>
      </c>
      <c r="Q19" t="s">
        <v>450</v>
      </c>
      <c r="R19" t="s">
        <v>450</v>
      </c>
      <c r="S19" t="s">
        <v>450</v>
      </c>
      <c r="T19" t="s">
        <v>450</v>
      </c>
    </row>
    <row r="20" spans="1:20" ht="15" customHeight="1" x14ac:dyDescent="0.25">
      <c r="A20" s="1" t="s">
        <v>301</v>
      </c>
      <c r="B20" s="1" t="s">
        <v>114</v>
      </c>
      <c r="C20" s="1" t="s">
        <v>160</v>
      </c>
      <c r="D20" s="1">
        <v>6</v>
      </c>
      <c r="E20" s="1">
        <v>8</v>
      </c>
      <c r="F20" s="72">
        <v>6</v>
      </c>
      <c r="O20" t="s">
        <v>450</v>
      </c>
      <c r="P20" t="s">
        <v>450</v>
      </c>
      <c r="Q20" t="s">
        <v>450</v>
      </c>
      <c r="R20" t="s">
        <v>450</v>
      </c>
      <c r="S20" t="s">
        <v>450</v>
      </c>
      <c r="T20" t="s">
        <v>450</v>
      </c>
    </row>
    <row r="21" spans="1:20" ht="15" customHeight="1" x14ac:dyDescent="0.25">
      <c r="A21" s="1" t="s">
        <v>301</v>
      </c>
      <c r="B21" s="1" t="s">
        <v>301</v>
      </c>
      <c r="C21" s="1" t="s">
        <v>301</v>
      </c>
      <c r="D21" s="1">
        <v>6</v>
      </c>
      <c r="E21" s="1">
        <v>8</v>
      </c>
      <c r="F21" s="72">
        <v>6</v>
      </c>
      <c r="O21" t="s">
        <v>450</v>
      </c>
      <c r="P21" t="s">
        <v>450</v>
      </c>
      <c r="Q21" t="s">
        <v>450</v>
      </c>
      <c r="R21" t="s">
        <v>450</v>
      </c>
      <c r="S21" t="s">
        <v>450</v>
      </c>
      <c r="T21" t="s">
        <v>450</v>
      </c>
    </row>
    <row r="22" spans="1:20" x14ac:dyDescent="0.25">
      <c r="A22" s="1" t="s">
        <v>23</v>
      </c>
      <c r="B22" s="1"/>
      <c r="C22" s="1"/>
      <c r="D22" s="1">
        <v>6</v>
      </c>
      <c r="E22" s="55">
        <v>8</v>
      </c>
      <c r="F22" s="71">
        <v>8</v>
      </c>
    </row>
    <row r="23" spans="1:20" x14ac:dyDescent="0.25">
      <c r="A23" s="1" t="s">
        <v>24</v>
      </c>
      <c r="B23" s="1" t="s">
        <v>30</v>
      </c>
      <c r="C23" s="1" t="s">
        <v>30</v>
      </c>
      <c r="D23" s="1">
        <v>6</v>
      </c>
      <c r="E23" s="1">
        <v>8</v>
      </c>
      <c r="F23" s="71">
        <v>8</v>
      </c>
    </row>
    <row r="24" spans="1:20" x14ac:dyDescent="0.25">
      <c r="A24" s="1" t="s">
        <v>296</v>
      </c>
      <c r="B24" s="1" t="s">
        <v>298</v>
      </c>
      <c r="C24" s="1"/>
      <c r="D24" s="1">
        <v>6</v>
      </c>
      <c r="E24" s="1">
        <v>8</v>
      </c>
      <c r="F24" s="71">
        <v>8</v>
      </c>
    </row>
    <row r="25" spans="1:20" x14ac:dyDescent="0.25">
      <c r="A25" s="1" t="s">
        <v>76</v>
      </c>
      <c r="B25" s="1"/>
      <c r="C25" s="1"/>
      <c r="D25" s="1">
        <v>6</v>
      </c>
      <c r="E25" s="1">
        <v>8</v>
      </c>
      <c r="F25" s="71">
        <v>8</v>
      </c>
    </row>
    <row r="26" spans="1:20" x14ac:dyDescent="0.25">
      <c r="A26" s="1" t="s">
        <v>155</v>
      </c>
      <c r="B26" s="1"/>
      <c r="C26" s="1"/>
      <c r="D26" s="1">
        <v>9</v>
      </c>
      <c r="E26" s="1">
        <v>9</v>
      </c>
      <c r="F26" s="70">
        <v>4</v>
      </c>
    </row>
    <row r="27" spans="1:20" x14ac:dyDescent="0.25">
      <c r="A27" s="1" t="s">
        <v>160</v>
      </c>
      <c r="B27" s="1" t="s">
        <v>157</v>
      </c>
      <c r="C27" s="1" t="s">
        <v>160</v>
      </c>
      <c r="D27" s="1">
        <v>9</v>
      </c>
      <c r="E27" s="1">
        <v>9</v>
      </c>
      <c r="F27" s="72">
        <v>6</v>
      </c>
    </row>
    <row r="28" spans="1:20" x14ac:dyDescent="0.25">
      <c r="A28" s="1" t="s">
        <v>195</v>
      </c>
      <c r="B28" s="1" t="s">
        <v>194</v>
      </c>
      <c r="C28" s="1" t="s">
        <v>195</v>
      </c>
      <c r="D28" s="1">
        <v>9</v>
      </c>
      <c r="E28" s="1">
        <v>9</v>
      </c>
      <c r="F28" s="71">
        <v>8</v>
      </c>
    </row>
    <row r="29" spans="1:20" x14ac:dyDescent="0.25">
      <c r="A29" s="1" t="s">
        <v>73</v>
      </c>
      <c r="B29" s="1"/>
      <c r="C29" s="1"/>
      <c r="D29" s="1">
        <v>10</v>
      </c>
      <c r="E29" s="1">
        <v>10</v>
      </c>
      <c r="F29" s="73">
        <v>5</v>
      </c>
    </row>
    <row r="30" spans="1:20" x14ac:dyDescent="0.25">
      <c r="A30" s="1" t="s">
        <v>196</v>
      </c>
      <c r="B30" s="1" t="s">
        <v>202</v>
      </c>
      <c r="C30" s="1" t="s">
        <v>196</v>
      </c>
      <c r="D30" s="1">
        <v>10</v>
      </c>
      <c r="E30" s="1">
        <v>10</v>
      </c>
      <c r="F30" s="73">
        <v>7</v>
      </c>
    </row>
    <row r="31" spans="1:20" x14ac:dyDescent="0.25">
      <c r="A31" s="74" t="s">
        <v>441</v>
      </c>
      <c r="B31" s="74" t="s">
        <v>442</v>
      </c>
      <c r="C31" s="74" t="s">
        <v>440</v>
      </c>
      <c r="D31" s="1">
        <v>11</v>
      </c>
      <c r="E31" s="1">
        <v>11</v>
      </c>
      <c r="F31" s="100">
        <v>6</v>
      </c>
    </row>
    <row r="32" spans="1:20" x14ac:dyDescent="0.25">
      <c r="A32" s="74" t="s">
        <v>451</v>
      </c>
      <c r="B32" s="1"/>
      <c r="C32" s="1"/>
      <c r="D32" s="74">
        <v>12</v>
      </c>
      <c r="E32" s="74">
        <v>12</v>
      </c>
      <c r="F32" s="100">
        <v>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BBFE-AD82-44F6-BAC3-2C8020EBE5A1}">
  <sheetPr codeName="Sheet4"/>
  <dimension ref="A1:A11"/>
  <sheetViews>
    <sheetView workbookViewId="0">
      <selection activeCell="B14" sqref="B14"/>
    </sheetView>
  </sheetViews>
  <sheetFormatPr baseColWidth="10" defaultColWidth="8.85546875" defaultRowHeight="15" x14ac:dyDescent="0.25"/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s">
        <v>0</v>
      </c>
    </row>
    <row r="4" spans="1:1" x14ac:dyDescent="0.25">
      <c r="A4" t="s">
        <v>0</v>
      </c>
    </row>
    <row r="5" spans="1:1" x14ac:dyDescent="0.25">
      <c r="A5" t="s">
        <v>401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E93-AAAA-499F-BEFB-605008E8D7AF}">
  <sheetPr codeName="Sheet5"/>
  <dimension ref="A1"/>
  <sheetViews>
    <sheetView workbookViewId="0">
      <selection activeCell="B3" sqref="B1:B192435"/>
    </sheetView>
  </sheetViews>
  <sheetFormatPr baseColWidth="10" defaultColWidth="8.85546875" defaultRowHeight="15" x14ac:dyDescent="0.25"/>
  <sheetData>
    <row r="1" spans="1:1" x14ac:dyDescent="0.25">
      <c r="A1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E88-352E-4A8F-BB37-E3DCDA86BEBC}">
  <sheetPr codeName="Sheet8"/>
  <dimension ref="A1:A6"/>
  <sheetViews>
    <sheetView zoomScale="68" workbookViewId="0">
      <selection activeCell="D25" sqref="D25"/>
    </sheetView>
  </sheetViews>
  <sheetFormatPr baseColWidth="10" defaultColWidth="8.85546875" defaultRowHeight="15" x14ac:dyDescent="0.25"/>
  <sheetData>
    <row r="1" spans="1:1" x14ac:dyDescent="0.25">
      <c r="A1" t="s">
        <v>401</v>
      </c>
    </row>
    <row r="2" spans="1:1" x14ac:dyDescent="0.25">
      <c r="A2" t="s">
        <v>0</v>
      </c>
    </row>
    <row r="3" spans="1:1" x14ac:dyDescent="0.25">
      <c r="A3" t="s">
        <v>5</v>
      </c>
    </row>
    <row r="4" spans="1:1" x14ac:dyDescent="0.25">
      <c r="A4" t="s">
        <v>5</v>
      </c>
    </row>
    <row r="5" spans="1:1" x14ac:dyDescent="0.25">
      <c r="A5" t="s">
        <v>8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B066-59F1-4897-8ECD-8903C1F9602A}">
  <sheetPr codeName="Sheet6"/>
  <dimension ref="A1:A11"/>
  <sheetViews>
    <sheetView workbookViewId="0">
      <selection activeCell="A6" sqref="A6"/>
    </sheetView>
  </sheetViews>
  <sheetFormatPr baseColWidth="10" defaultColWidth="8.85546875" defaultRowHeight="15" x14ac:dyDescent="0.25"/>
  <cols>
    <col min="1" max="1" width="10.140625" bestFit="1" customWidth="1"/>
  </cols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s">
        <v>0</v>
      </c>
    </row>
    <row r="4" spans="1:1" x14ac:dyDescent="0.25">
      <c r="A4" t="s">
        <v>0</v>
      </c>
    </row>
    <row r="5" spans="1:1" x14ac:dyDescent="0.25">
      <c r="A5" t="s">
        <v>401</v>
      </c>
    </row>
    <row r="6" spans="1:1" x14ac:dyDescent="0.25">
      <c r="A6" t="s">
        <v>5</v>
      </c>
    </row>
    <row r="7" spans="1:1" x14ac:dyDescent="0.25">
      <c r="A7" t="s">
        <v>5</v>
      </c>
    </row>
    <row r="8" spans="1:1" x14ac:dyDescent="0.25">
      <c r="A8" t="s">
        <v>5</v>
      </c>
    </row>
    <row r="9" spans="1:1" x14ac:dyDescent="0.25">
      <c r="A9" t="s">
        <v>5</v>
      </c>
    </row>
    <row r="10" spans="1:1" x14ac:dyDescent="0.25">
      <c r="A10" t="s">
        <v>5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2B7E7-8E76-4C1B-8D65-4807852D9B7E}">
  <sheetPr codeName="Feuil1"/>
  <dimension ref="A1:AI102"/>
  <sheetViews>
    <sheetView tabSelected="1" zoomScale="85" zoomScaleNormal="85" workbookViewId="0">
      <selection activeCell="I29" sqref="I29"/>
    </sheetView>
  </sheetViews>
  <sheetFormatPr baseColWidth="10" defaultColWidth="8.85546875" defaultRowHeight="15" x14ac:dyDescent="0.25"/>
  <cols>
    <col min="1" max="1" width="19.42578125" bestFit="1" customWidth="1"/>
    <col min="2" max="2" width="38.7109375" bestFit="1" customWidth="1"/>
    <col min="3" max="3" width="4.7109375" bestFit="1" customWidth="1"/>
    <col min="4" max="4" width="6.7109375" bestFit="1" customWidth="1"/>
    <col min="5" max="5" width="7.7109375" bestFit="1" customWidth="1"/>
    <col min="6" max="6" width="8.140625" bestFit="1" customWidth="1"/>
    <col min="7" max="7" width="5.7109375" bestFit="1" customWidth="1"/>
    <col min="8" max="8" width="4.7109375" bestFit="1" customWidth="1"/>
    <col min="9" max="9" width="8.85546875" bestFit="1" customWidth="1"/>
    <col min="10" max="10" width="12" bestFit="1" customWidth="1"/>
    <col min="11" max="11" width="8" bestFit="1" customWidth="1"/>
    <col min="12" max="12" width="9" bestFit="1" customWidth="1"/>
    <col min="13" max="13" width="6" bestFit="1" customWidth="1"/>
    <col min="14" max="14" width="6.28515625" bestFit="1" customWidth="1"/>
    <col min="15" max="15" width="8.140625" bestFit="1" customWidth="1"/>
    <col min="16" max="16" width="4.7109375" customWidth="1"/>
    <col min="17" max="21" width="5.7109375" customWidth="1"/>
    <col min="22" max="22" width="5.7109375" bestFit="1" customWidth="1"/>
    <col min="23" max="29" width="5.7109375" customWidth="1"/>
    <col min="32" max="32" width="29" bestFit="1" customWidth="1"/>
    <col min="33" max="33" width="19.7109375" bestFit="1" customWidth="1"/>
  </cols>
  <sheetData>
    <row r="1" spans="1:35" x14ac:dyDescent="0.25">
      <c r="A1" s="3" t="s">
        <v>1</v>
      </c>
      <c r="B1" s="3" t="s">
        <v>55</v>
      </c>
      <c r="C1" s="3" t="s">
        <v>4</v>
      </c>
      <c r="D1" s="3" t="s">
        <v>52</v>
      </c>
      <c r="E1" s="3" t="s">
        <v>7</v>
      </c>
      <c r="F1" s="3" t="s">
        <v>2</v>
      </c>
      <c r="G1" s="3" t="s">
        <v>3</v>
      </c>
      <c r="H1" s="3" t="s">
        <v>6</v>
      </c>
      <c r="I1" s="3" t="s">
        <v>207</v>
      </c>
      <c r="J1" s="3" t="s">
        <v>407</v>
      </c>
      <c r="K1" s="3" t="s">
        <v>342</v>
      </c>
      <c r="L1" s="3" t="s">
        <v>343</v>
      </c>
      <c r="M1" s="3" t="s">
        <v>342</v>
      </c>
      <c r="N1" s="3" t="s">
        <v>343</v>
      </c>
      <c r="O1" s="3" t="s">
        <v>342</v>
      </c>
      <c r="P1" s="3" t="s">
        <v>343</v>
      </c>
      <c r="Q1" s="3" t="s">
        <v>342</v>
      </c>
      <c r="R1" s="3" t="s">
        <v>343</v>
      </c>
      <c r="S1" s="3" t="s">
        <v>342</v>
      </c>
      <c r="T1" s="3" t="s">
        <v>343</v>
      </c>
      <c r="U1" s="3" t="s">
        <v>342</v>
      </c>
      <c r="V1" s="3" t="s">
        <v>343</v>
      </c>
      <c r="W1" s="3" t="s">
        <v>342</v>
      </c>
      <c r="X1" s="3" t="s">
        <v>343</v>
      </c>
      <c r="Y1" s="3" t="s">
        <v>342</v>
      </c>
      <c r="Z1" s="3" t="s">
        <v>343</v>
      </c>
      <c r="AA1" s="3" t="s">
        <v>342</v>
      </c>
      <c r="AB1" s="3" t="s">
        <v>343</v>
      </c>
      <c r="AC1" s="3"/>
      <c r="AD1" s="3"/>
      <c r="AF1" t="s">
        <v>345</v>
      </c>
      <c r="AG1" t="s">
        <v>357</v>
      </c>
      <c r="AI1" t="s">
        <v>346</v>
      </c>
    </row>
    <row r="2" spans="1:35" x14ac:dyDescent="0.25">
      <c r="A2" s="1" t="s">
        <v>0</v>
      </c>
      <c r="B2" s="1" t="s">
        <v>352</v>
      </c>
      <c r="C2" s="1">
        <v>1</v>
      </c>
      <c r="D2" s="1" t="s">
        <v>53</v>
      </c>
      <c r="E2" s="1" t="s">
        <v>400</v>
      </c>
      <c r="F2" s="1">
        <v>6</v>
      </c>
      <c r="G2" s="1"/>
      <c r="H2" s="1"/>
      <c r="I2" s="1"/>
      <c r="J2" s="1" t="str">
        <f>IF(ISBLANK(F2), "", F2 &amp; "🔪")&amp;IF(ISBLANK(G2), "", G2 &amp; "🛡️")&amp;IF(ISBLANK(H2), "", H2 &amp; "❤️")&amp;IFERROR(VLOOKUP(I2, Enemies!A$2:C$37, 3, FALSE), "")</f>
        <v>6🔪</v>
      </c>
      <c r="K2" s="1" t="s">
        <v>2</v>
      </c>
      <c r="L2" s="1" t="s">
        <v>344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F2" t="s">
        <v>350</v>
      </c>
      <c r="AG2" t="s">
        <v>376</v>
      </c>
      <c r="AI2" t="s">
        <v>52</v>
      </c>
    </row>
    <row r="3" spans="1:35" x14ac:dyDescent="0.25">
      <c r="A3" s="1" t="s">
        <v>401</v>
      </c>
      <c r="B3" s="1" t="s">
        <v>403</v>
      </c>
      <c r="C3" s="1">
        <v>1</v>
      </c>
      <c r="D3" s="1" t="s">
        <v>53</v>
      </c>
      <c r="E3" s="1" t="s">
        <v>400</v>
      </c>
      <c r="F3" s="1">
        <v>7</v>
      </c>
      <c r="G3" s="1"/>
      <c r="H3" s="1"/>
      <c r="I3" s="1"/>
      <c r="J3" s="1" t="str">
        <f>IF(ISBLANK(F3), "", F3 &amp; "🔪")&amp;IF(ISBLANK(G3), "", G3 &amp; "🛡️")&amp;IF(ISBLANK(H3), "", H3 &amp; "❤️")&amp;IFERROR(VLOOKUP(I3, Enemies!A$2:C$37, 3, FALSE), "")</f>
        <v>7🔪</v>
      </c>
      <c r="K3" s="1" t="s">
        <v>2</v>
      </c>
      <c r="L3" s="1" t="s">
        <v>402</v>
      </c>
      <c r="M3" s="1" t="s">
        <v>4</v>
      </c>
      <c r="N3" s="1">
        <v>1</v>
      </c>
      <c r="O3" s="1" t="s">
        <v>361</v>
      </c>
      <c r="P3" s="1" t="s">
        <v>378</v>
      </c>
      <c r="Q3" s="1" t="s">
        <v>2</v>
      </c>
      <c r="R3" s="1" t="s">
        <v>402</v>
      </c>
      <c r="S3" s="1" t="s">
        <v>4</v>
      </c>
      <c r="T3" s="1">
        <v>1</v>
      </c>
      <c r="U3" s="1" t="s">
        <v>361</v>
      </c>
      <c r="V3" s="1" t="s">
        <v>378</v>
      </c>
      <c r="W3" s="1" t="s">
        <v>2</v>
      </c>
      <c r="X3" s="1" t="s">
        <v>402</v>
      </c>
      <c r="Y3" s="1" t="s">
        <v>4</v>
      </c>
      <c r="Z3" s="1">
        <v>1</v>
      </c>
      <c r="AA3" s="1"/>
      <c r="AB3" s="1"/>
      <c r="AC3" s="1"/>
      <c r="AD3" s="1"/>
    </row>
    <row r="4" spans="1:35" x14ac:dyDescent="0.25">
      <c r="A4" s="1" t="s">
        <v>5</v>
      </c>
      <c r="B4" s="1" t="s">
        <v>353</v>
      </c>
      <c r="C4" s="1">
        <v>1</v>
      </c>
      <c r="D4" s="1" t="s">
        <v>54</v>
      </c>
      <c r="E4" s="1" t="s">
        <v>400</v>
      </c>
      <c r="F4" s="1"/>
      <c r="G4" s="1">
        <v>5</v>
      </c>
      <c r="H4" s="1"/>
      <c r="I4" s="1"/>
      <c r="J4" s="1" t="str">
        <f>IF(ISBLANK(F4), "", F4 &amp; "🔪")&amp;IF(ISBLANK(G4), "", G4 &amp; "🛡️")&amp;IF(ISBLANK(H4), "", H4 &amp; "❤️")&amp;IFERROR(VLOOKUP(I4, Enemies!A$2:C$37, 3, FALSE), "")</f>
        <v>5🛡️</v>
      </c>
      <c r="K4" s="1" t="s">
        <v>3</v>
      </c>
      <c r="L4" s="1">
        <v>5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F4" t="s">
        <v>348</v>
      </c>
      <c r="AI4" t="s">
        <v>41</v>
      </c>
    </row>
    <row r="5" spans="1:35" x14ac:dyDescent="0.25">
      <c r="A5" s="1" t="s">
        <v>8</v>
      </c>
      <c r="B5" s="1" t="s">
        <v>354</v>
      </c>
      <c r="C5" s="1">
        <v>1</v>
      </c>
      <c r="D5" s="1" t="s">
        <v>54</v>
      </c>
      <c r="E5" s="1" t="s">
        <v>400</v>
      </c>
      <c r="F5" s="1"/>
      <c r="G5" s="1"/>
      <c r="H5" s="1">
        <v>5</v>
      </c>
      <c r="I5" s="1"/>
      <c r="J5" s="1" t="str">
        <f>IF(ISBLANK(F5), "", F5 &amp; "🔪")&amp;IF(ISBLANK(G5), "", G5 &amp; "🛡️")&amp;IF(ISBLANK(H5), "", H5 &amp; "❤️")&amp;IFERROR(VLOOKUP(I5, Enemies!A$2:C$37, 3, FALSE), "")</f>
        <v>5❤️</v>
      </c>
      <c r="K5" s="1" t="s">
        <v>6</v>
      </c>
      <c r="L5" s="1">
        <v>5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F5" t="s">
        <v>349</v>
      </c>
      <c r="AG5" t="s">
        <v>360</v>
      </c>
      <c r="AI5" t="s">
        <v>172</v>
      </c>
    </row>
    <row r="6" spans="1:35" x14ac:dyDescent="0.25">
      <c r="A6" s="1" t="s">
        <v>61</v>
      </c>
      <c r="B6" s="1" t="s">
        <v>355</v>
      </c>
      <c r="C6" s="1">
        <v>0</v>
      </c>
      <c r="D6" s="1" t="s">
        <v>53</v>
      </c>
      <c r="E6" s="1" t="s">
        <v>400</v>
      </c>
      <c r="F6" s="1">
        <v>5</v>
      </c>
      <c r="G6" s="1"/>
      <c r="H6" s="1"/>
      <c r="I6" s="1"/>
      <c r="J6" s="1" t="str">
        <f>IF(ISBLANK(F6), "", F6 &amp; "🔪")&amp;IF(ISBLANK(G6), "", G6 &amp; "🛡️")&amp;IF(ISBLANK(H6), "", H6 &amp; "❤️")&amp;IFERROR(VLOOKUP(I6, Enemies!A$2:C$37, 3, FALSE), "")</f>
        <v>5🔪</v>
      </c>
      <c r="K6" s="1" t="s">
        <v>2</v>
      </c>
      <c r="L6" s="1" t="s">
        <v>371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F6" t="s">
        <v>351</v>
      </c>
      <c r="AG6" t="s">
        <v>358</v>
      </c>
      <c r="AI6" t="s">
        <v>54</v>
      </c>
    </row>
    <row r="7" spans="1:35" x14ac:dyDescent="0.25">
      <c r="A7" s="1" t="s">
        <v>107</v>
      </c>
      <c r="B7" s="1" t="s">
        <v>372</v>
      </c>
      <c r="C7" s="1">
        <v>1</v>
      </c>
      <c r="D7" s="1" t="s">
        <v>53</v>
      </c>
      <c r="E7" s="1" t="s">
        <v>400</v>
      </c>
      <c r="F7" s="1">
        <v>4</v>
      </c>
      <c r="G7" s="1">
        <v>4</v>
      </c>
      <c r="H7" s="1"/>
      <c r="I7" s="1"/>
      <c r="J7" s="1" t="str">
        <f>IF(ISBLANK(F7), "", F7 &amp; "🔪")&amp;IF(ISBLANK(G7), "", G7 &amp; "🛡️")&amp;IF(ISBLANK(H7), "", H7 &amp; "❤️")&amp;IFERROR(VLOOKUP(I7, Enemies!A$2:C$37, 3, FALSE), "")</f>
        <v>4🔪4🛡️</v>
      </c>
      <c r="K7" s="1" t="s">
        <v>2</v>
      </c>
      <c r="L7" s="1" t="s">
        <v>373</v>
      </c>
      <c r="M7" s="1" t="s">
        <v>3</v>
      </c>
      <c r="N7" s="1">
        <v>4</v>
      </c>
      <c r="O7" s="1" t="s">
        <v>106</v>
      </c>
      <c r="P7" s="1">
        <v>1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F7" t="s">
        <v>356</v>
      </c>
      <c r="AG7" t="s">
        <v>359</v>
      </c>
      <c r="AI7" t="s">
        <v>347</v>
      </c>
    </row>
    <row r="8" spans="1:35" x14ac:dyDescent="0.25">
      <c r="A8" s="1" t="s">
        <v>31</v>
      </c>
      <c r="B8" s="1" t="s">
        <v>375</v>
      </c>
      <c r="C8" s="1">
        <v>2</v>
      </c>
      <c r="D8" s="1" t="s">
        <v>53</v>
      </c>
      <c r="E8" s="1" t="s">
        <v>400</v>
      </c>
      <c r="F8" s="1">
        <v>20</v>
      </c>
      <c r="G8" s="1"/>
      <c r="H8" s="1"/>
      <c r="I8" s="1"/>
      <c r="J8" s="1" t="str">
        <f>IF(ISBLANK(F8), "", F8 &amp; "🔪")&amp;IF(ISBLANK(G8), "", G8 &amp; "🛡️")&amp;IF(ISBLANK(H8), "", H8 &amp; "❤️")&amp;IFERROR(VLOOKUP(I8, Enemies!A$2:C$37, 3, FALSE), "")</f>
        <v>20🔪</v>
      </c>
      <c r="K8" s="1" t="s">
        <v>2</v>
      </c>
      <c r="L8" s="1" t="s">
        <v>381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F8" t="s">
        <v>363</v>
      </c>
      <c r="AG8" t="s">
        <v>362</v>
      </c>
    </row>
    <row r="9" spans="1:35" x14ac:dyDescent="0.25">
      <c r="A9" s="1" t="s">
        <v>32</v>
      </c>
      <c r="B9" s="1" t="s">
        <v>377</v>
      </c>
      <c r="C9" s="1">
        <v>1</v>
      </c>
      <c r="D9" s="1" t="s">
        <v>53</v>
      </c>
      <c r="E9" s="1" t="s">
        <v>400</v>
      </c>
      <c r="F9" s="1">
        <v>5</v>
      </c>
      <c r="G9" s="1"/>
      <c r="H9" s="1">
        <v>5</v>
      </c>
      <c r="I9" s="1"/>
      <c r="J9" s="1" t="str">
        <f>IF(ISBLANK(F9), "", F9 &amp; "🔪")&amp;IF(ISBLANK(G9), "", G9 &amp; "🛡️")&amp;IF(ISBLANK(H9), "", H9 &amp; "❤️")&amp;IFERROR(VLOOKUP(I9, Enemies!A$2:C$37, 3, FALSE), "")</f>
        <v>5🔪5❤️</v>
      </c>
      <c r="K9" s="1" t="s">
        <v>2</v>
      </c>
      <c r="L9" s="1" t="s">
        <v>371</v>
      </c>
      <c r="M9" s="1" t="s">
        <v>6</v>
      </c>
      <c r="N9" s="1" t="s">
        <v>392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F9" t="s">
        <v>389</v>
      </c>
    </row>
    <row r="10" spans="1:35" x14ac:dyDescent="0.25">
      <c r="A10" s="1" t="s">
        <v>64</v>
      </c>
      <c r="B10" s="1" t="s">
        <v>379</v>
      </c>
      <c r="C10" s="1">
        <v>1</v>
      </c>
      <c r="D10" s="1" t="s">
        <v>54</v>
      </c>
      <c r="E10" s="1" t="s">
        <v>400</v>
      </c>
      <c r="F10" s="1"/>
      <c r="G10" s="1">
        <v>10</v>
      </c>
      <c r="H10" s="1"/>
      <c r="I10" s="1"/>
      <c r="J10" s="1" t="str">
        <f>IF(ISBLANK(F10), "", F10 &amp; "🔪")&amp;IF(ISBLANK(G10), "", G10 &amp; "🛡️")&amp;IF(ISBLANK(H10), "", H10 &amp; "❤️")&amp;IFERROR(VLOOKUP(I10, Enemies!A$2:C$37, 3, FALSE), "")</f>
        <v>10🛡️</v>
      </c>
      <c r="K10" s="1" t="s">
        <v>3</v>
      </c>
      <c r="L10" s="1">
        <v>10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F10" t="s">
        <v>364</v>
      </c>
    </row>
    <row r="11" spans="1:35" x14ac:dyDescent="0.25">
      <c r="A11" s="1" t="s">
        <v>65</v>
      </c>
      <c r="B11" s="1" t="s">
        <v>380</v>
      </c>
      <c r="C11" s="1">
        <v>1</v>
      </c>
      <c r="D11" s="1" t="s">
        <v>53</v>
      </c>
      <c r="E11" s="1" t="s">
        <v>400</v>
      </c>
      <c r="F11" s="1">
        <v>10</v>
      </c>
      <c r="G11" s="1"/>
      <c r="H11" s="1"/>
      <c r="I11" s="1"/>
      <c r="J11" s="1" t="str">
        <f>IF(ISBLANK(F11), "", F11 &amp; "🔪")&amp;IF(ISBLANK(G11), "", G11 &amp; "🛡️")&amp;IF(ISBLANK(H11), "", H11 &amp; "❤️")&amp;IFERROR(VLOOKUP(I11, Enemies!A$2:C$37, 3, FALSE), "")</f>
        <v>10🔪</v>
      </c>
      <c r="K11" s="1" t="s">
        <v>2</v>
      </c>
      <c r="L11" s="1" t="s">
        <v>382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F11" t="s">
        <v>365</v>
      </c>
    </row>
    <row r="12" spans="1:35" x14ac:dyDescent="0.25">
      <c r="A12" s="1" t="s">
        <v>66</v>
      </c>
      <c r="B12" s="1" t="s">
        <v>385</v>
      </c>
      <c r="C12" s="1">
        <v>1</v>
      </c>
      <c r="D12" s="1" t="s">
        <v>53</v>
      </c>
      <c r="E12" s="1" t="s">
        <v>400</v>
      </c>
      <c r="F12" s="1">
        <v>6</v>
      </c>
      <c r="G12" s="1">
        <v>6</v>
      </c>
      <c r="H12" s="1"/>
      <c r="I12" s="1"/>
      <c r="J12" s="1" t="str">
        <f>IF(ISBLANK(F12), "", F12 &amp; "🔪")&amp;IF(ISBLANK(G12), "", G12 &amp; "🛡️")&amp;IF(ISBLANK(H12), "", H12 &amp; "❤️")&amp;IFERROR(VLOOKUP(I12, Enemies!A$2:C$37, 3, FALSE), "")</f>
        <v>6🔪6🛡️</v>
      </c>
      <c r="K12" s="1" t="s">
        <v>2</v>
      </c>
      <c r="L12" s="1" t="s">
        <v>344</v>
      </c>
      <c r="M12" s="1" t="s">
        <v>3</v>
      </c>
      <c r="N12" s="1">
        <v>6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F12" t="s">
        <v>366</v>
      </c>
    </row>
    <row r="13" spans="1:35" x14ac:dyDescent="0.25">
      <c r="A13" s="1" t="s">
        <v>67</v>
      </c>
      <c r="B13" s="1" t="s">
        <v>393</v>
      </c>
      <c r="C13" s="1">
        <v>0</v>
      </c>
      <c r="D13" s="1" t="s">
        <v>347</v>
      </c>
      <c r="E13" s="1" t="s">
        <v>399</v>
      </c>
      <c r="F13" s="1">
        <v>25</v>
      </c>
      <c r="G13" s="1"/>
      <c r="H13" s="1"/>
      <c r="I13" s="1"/>
      <c r="J13" s="1" t="str">
        <f>IF(ISBLANK(F13), "", F13 &amp; "🔪")&amp;IF(ISBLANK(G13), "", G13 &amp; "🛡️")&amp;IF(ISBLANK(H13), "", H13 &amp; "❤️")&amp;IFERROR(VLOOKUP(I13, Enemies!A$2:C$37, 3, FALSE), "")</f>
        <v>25🔪</v>
      </c>
      <c r="K13" s="1" t="s">
        <v>2</v>
      </c>
      <c r="L13" s="1" t="s">
        <v>394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F13" t="s">
        <v>367</v>
      </c>
    </row>
    <row r="14" spans="1:35" x14ac:dyDescent="0.25">
      <c r="A14" s="1" t="s">
        <v>286</v>
      </c>
      <c r="B14" s="1" t="s">
        <v>395</v>
      </c>
      <c r="C14" s="1">
        <v>0</v>
      </c>
      <c r="D14" s="1" t="s">
        <v>54</v>
      </c>
      <c r="E14" s="1" t="s">
        <v>399</v>
      </c>
      <c r="F14" s="1"/>
      <c r="G14" s="1"/>
      <c r="H14" s="1"/>
      <c r="I14" s="1"/>
      <c r="J14" s="1" t="str">
        <f>IF(ISBLANK(F14), "", F14 &amp; "🔪")&amp;IF(ISBLANK(G14), "", G14 &amp; "🛡️")&amp;IF(ISBLANK(H14), "", H14 &amp; "❤️")&amp;IFERROR(VLOOKUP(I14, Enemies!A$2:C$37, 3, FALSE), "")</f>
        <v/>
      </c>
      <c r="K14" s="1" t="s">
        <v>281</v>
      </c>
      <c r="L14" s="1">
        <v>2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F14" t="s">
        <v>368</v>
      </c>
    </row>
    <row r="15" spans="1:35" x14ac:dyDescent="0.25">
      <c r="A15" s="1" t="s">
        <v>43</v>
      </c>
      <c r="B15" s="1" t="s">
        <v>398</v>
      </c>
      <c r="C15" s="1">
        <v>2</v>
      </c>
      <c r="D15" s="1" t="s">
        <v>41</v>
      </c>
      <c r="E15" s="1" t="s">
        <v>400</v>
      </c>
      <c r="F15" s="1">
        <v>4</v>
      </c>
      <c r="G15" s="1">
        <v>10</v>
      </c>
      <c r="H15" s="1"/>
      <c r="I15" s="1" t="s">
        <v>74</v>
      </c>
      <c r="J15" s="1" t="str">
        <f>IF(ISBLANK(F15), "", F15 &amp; "🔪")&amp;IF(ISBLANK(G15), "", G15 &amp; "🛡️")&amp;IF(ISBLANK(H15), "", H15 &amp; "❤️")&amp;IFERROR(VLOOKUP(I15, Enemies!A$2:C$37, 3, FALSE), "")</f>
        <v>4🔪10🛡️🦇</v>
      </c>
      <c r="K15" s="1" t="s">
        <v>2</v>
      </c>
      <c r="L15" s="1" t="s">
        <v>397</v>
      </c>
      <c r="M15" s="1" t="s">
        <v>3</v>
      </c>
      <c r="N15" s="1">
        <v>10</v>
      </c>
      <c r="O15" s="1" t="s">
        <v>207</v>
      </c>
      <c r="P15" s="1" t="s">
        <v>74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F15" t="s">
        <v>369</v>
      </c>
    </row>
    <row r="16" spans="1:35" x14ac:dyDescent="0.25">
      <c r="A16" s="1" t="s">
        <v>40</v>
      </c>
      <c r="B16" s="1" t="s">
        <v>408</v>
      </c>
      <c r="C16" s="1">
        <v>1</v>
      </c>
      <c r="D16" s="1" t="s">
        <v>53</v>
      </c>
      <c r="E16" s="1" t="s">
        <v>400</v>
      </c>
      <c r="F16" s="1">
        <v>5</v>
      </c>
      <c r="G16" s="1"/>
      <c r="H16" s="1"/>
      <c r="I16" s="1"/>
      <c r="J16" s="1" t="str">
        <f>IF(ISBLANK(F16), "", F16 &amp; "🔪")&amp;IF(ISBLANK(G16), "", G16 &amp; "🛡️")&amp;IF(ISBLANK(H16), "", H16 &amp; "❤️")&amp;IFERROR(VLOOKUP(I16, Enemies!A$2:C$37, 3, FALSE), "")</f>
        <v>5🔪</v>
      </c>
      <c r="K16" s="1" t="s">
        <v>2</v>
      </c>
      <c r="L16" s="1" t="s">
        <v>409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t="s">
        <v>370</v>
      </c>
    </row>
    <row r="17" spans="1:32" x14ac:dyDescent="0.25">
      <c r="A17" s="1" t="s">
        <v>105</v>
      </c>
      <c r="B17" s="1" t="s">
        <v>410</v>
      </c>
      <c r="C17" s="1">
        <v>1</v>
      </c>
      <c r="D17" s="1" t="s">
        <v>54</v>
      </c>
      <c r="E17" s="1" t="s">
        <v>400</v>
      </c>
      <c r="F17" s="1"/>
      <c r="G17" s="1">
        <v>7</v>
      </c>
      <c r="H17" s="1"/>
      <c r="I17" s="1"/>
      <c r="J17" s="1" t="str">
        <f>IF(ISBLANK(F17), "", F17 &amp; "🔪")&amp;IF(ISBLANK(G17), "", G17 &amp; "🛡️")&amp;IF(ISBLANK(H17), "", H17 &amp; "❤️")&amp;IFERROR(VLOOKUP(I17, Enemies!A$2:C$37, 3, FALSE), "")</f>
        <v>7🛡️</v>
      </c>
      <c r="K17" s="1" t="s">
        <v>3</v>
      </c>
      <c r="L17" s="1">
        <v>7</v>
      </c>
      <c r="M17" s="1" t="s">
        <v>106</v>
      </c>
      <c r="N17" s="1">
        <v>1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F17" t="s">
        <v>458</v>
      </c>
    </row>
    <row r="18" spans="1:32" x14ac:dyDescent="0.25">
      <c r="A18" s="1" t="s">
        <v>42</v>
      </c>
      <c r="B18" s="1" t="s">
        <v>411</v>
      </c>
      <c r="C18" s="1">
        <v>2</v>
      </c>
      <c r="D18" s="1" t="s">
        <v>41</v>
      </c>
      <c r="E18" s="1" t="s">
        <v>399</v>
      </c>
      <c r="F18" s="1">
        <v>15</v>
      </c>
      <c r="G18" s="1"/>
      <c r="H18" s="1"/>
      <c r="I18" s="1"/>
      <c r="J18" s="1" t="str">
        <f>IF(ISBLANK(F18), "", F18 &amp; "🔪")&amp;IF(ISBLANK(G18), "", G18 &amp; "🛡️")&amp;IF(ISBLANK(H18), "", H18 &amp; "❤️")&amp;IFERROR(VLOOKUP(I18, Enemies!A$2:C$37, 3, FALSE), "")</f>
        <v>15🔪</v>
      </c>
      <c r="K18" s="1" t="s">
        <v>2</v>
      </c>
      <c r="L18" s="1" t="s">
        <v>412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2" x14ac:dyDescent="0.25">
      <c r="A19" s="1" t="s">
        <v>200</v>
      </c>
      <c r="B19" s="1" t="s">
        <v>413</v>
      </c>
      <c r="C19" s="1">
        <v>2</v>
      </c>
      <c r="D19" s="1" t="s">
        <v>41</v>
      </c>
      <c r="E19" s="1" t="s">
        <v>400</v>
      </c>
      <c r="F19" s="1">
        <v>10</v>
      </c>
      <c r="G19" s="1"/>
      <c r="H19" s="1">
        <v>3</v>
      </c>
      <c r="I19" s="1"/>
      <c r="J19" s="1" t="str">
        <f>IF(ISBLANK(F19), "", F19 &amp; "🔪")&amp;IF(ISBLANK(G19), "", G19 &amp; "🛡️")&amp;IF(ISBLANK(H19), "", H19 &amp; "❤️")&amp;IFERROR(VLOOKUP(I19, Enemies!A$2:C$37, 3, FALSE), "")</f>
        <v>10🔪3❤️</v>
      </c>
      <c r="K19" s="1" t="s">
        <v>2</v>
      </c>
      <c r="L19" s="1" t="s">
        <v>414</v>
      </c>
      <c r="M19" s="1" t="s">
        <v>6</v>
      </c>
      <c r="N19" s="1">
        <v>3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F19" t="s">
        <v>383</v>
      </c>
    </row>
    <row r="20" spans="1:32" x14ac:dyDescent="0.25">
      <c r="A20" s="1" t="s">
        <v>89</v>
      </c>
      <c r="B20" s="1" t="s">
        <v>415</v>
      </c>
      <c r="C20" s="1">
        <v>2</v>
      </c>
      <c r="D20" s="1" t="s">
        <v>54</v>
      </c>
      <c r="E20" s="1" t="s">
        <v>399</v>
      </c>
      <c r="F20" s="1"/>
      <c r="G20" s="1">
        <v>15</v>
      </c>
      <c r="H20" s="1">
        <v>3</v>
      </c>
      <c r="I20" s="1"/>
      <c r="J20" s="1" t="str">
        <f>IF(ISBLANK(F20), "", F20 &amp; "🔪")&amp;IF(ISBLANK(G20), "", G20 &amp; "🛡️")&amp;IF(ISBLANK(H20), "", H20 &amp; "❤️")&amp;IFERROR(VLOOKUP(I20, Enemies!A$2:C$37, 3, FALSE), "")</f>
        <v>15🛡️3❤️</v>
      </c>
      <c r="K20" s="1" t="s">
        <v>3</v>
      </c>
      <c r="L20" s="1">
        <v>15</v>
      </c>
      <c r="M20" s="1" t="s">
        <v>6</v>
      </c>
      <c r="N20" s="1">
        <v>4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t="s">
        <v>384</v>
      </c>
    </row>
    <row r="21" spans="1:32" x14ac:dyDescent="0.25">
      <c r="A21" s="1" t="s">
        <v>90</v>
      </c>
      <c r="B21" s="1" t="s">
        <v>416</v>
      </c>
      <c r="C21" s="1">
        <v>2</v>
      </c>
      <c r="D21" s="1" t="s">
        <v>53</v>
      </c>
      <c r="E21" s="1" t="s">
        <v>400</v>
      </c>
      <c r="F21" s="1">
        <v>15</v>
      </c>
      <c r="G21" s="1"/>
      <c r="H21" s="1">
        <v>3</v>
      </c>
      <c r="I21" s="1"/>
      <c r="J21" s="1" t="str">
        <f>IF(ISBLANK(F21), "", F21 &amp; "🔪")&amp;IF(ISBLANK(G21), "", G21 &amp; "🛡️")&amp;IF(ISBLANK(H21), "", H21 &amp; "❤️")&amp;IFERROR(VLOOKUP(I21, Enemies!A$2:C$37, 3, FALSE), "")</f>
        <v>15🔪3❤️</v>
      </c>
      <c r="K21" s="1" t="s">
        <v>2</v>
      </c>
      <c r="L21" s="1" t="s">
        <v>417</v>
      </c>
      <c r="M21" s="1" t="s">
        <v>6</v>
      </c>
      <c r="N21" s="1">
        <v>3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F21" t="s">
        <v>386</v>
      </c>
    </row>
    <row r="22" spans="1:32" x14ac:dyDescent="0.25">
      <c r="A22" s="1" t="s">
        <v>327</v>
      </c>
      <c r="B22" s="1" t="s">
        <v>420</v>
      </c>
      <c r="C22" s="1">
        <v>3</v>
      </c>
      <c r="D22" s="1" t="s">
        <v>41</v>
      </c>
      <c r="E22" s="1" t="s">
        <v>400</v>
      </c>
      <c r="F22" s="1">
        <v>6</v>
      </c>
      <c r="G22" s="1">
        <v>6</v>
      </c>
      <c r="H22" s="1">
        <v>3</v>
      </c>
      <c r="I22" s="1"/>
      <c r="J22" s="1" t="str">
        <f>IF(ISBLANK(F22), "", F22 &amp; "🔪")&amp;IF(ISBLANK(G22), "", G22 &amp; "🛡️")&amp;IF(ISBLANK(H22), "", H22 &amp; "❤️")&amp;IFERROR(VLOOKUP(I22, Enemies!A$2:C$37, 3, FALSE), "")</f>
        <v>6🔪6🛡️3❤️</v>
      </c>
      <c r="K22" s="1" t="s">
        <v>2</v>
      </c>
      <c r="L22" s="1" t="s">
        <v>421</v>
      </c>
      <c r="M22" s="1" t="s">
        <v>3</v>
      </c>
      <c r="N22" s="1">
        <v>6</v>
      </c>
      <c r="O22" s="1" t="s">
        <v>6</v>
      </c>
      <c r="P22" s="1">
        <v>3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F22" t="s">
        <v>387</v>
      </c>
    </row>
    <row r="23" spans="1:32" x14ac:dyDescent="0.25">
      <c r="A23" s="1" t="s">
        <v>88</v>
      </c>
      <c r="B23" s="1" t="s">
        <v>448</v>
      </c>
      <c r="C23" s="1">
        <v>1</v>
      </c>
      <c r="D23" s="1" t="s">
        <v>53</v>
      </c>
      <c r="E23" s="1" t="s">
        <v>400</v>
      </c>
      <c r="F23" s="1">
        <v>8</v>
      </c>
      <c r="G23" s="1"/>
      <c r="H23" s="1"/>
      <c r="I23" s="1"/>
      <c r="J23" s="1" t="str">
        <f>IF(ISBLANK(F23), "", F23 &amp; "🔪")&amp;IF(ISBLANK(G23), "", G23 &amp; "🛡️")&amp;IF(ISBLANK(H23), "", H23 &amp; "❤️")&amp;IFERROR(VLOOKUP(I23, Enemies!A$2:C$37, 3, FALSE), "")</f>
        <v>8🔪</v>
      </c>
      <c r="K23" s="1" t="s">
        <v>2</v>
      </c>
      <c r="L23" s="1" t="s">
        <v>409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F23" t="s">
        <v>388</v>
      </c>
    </row>
    <row r="24" spans="1:32" x14ac:dyDescent="0.25">
      <c r="A24" s="1" t="s">
        <v>111</v>
      </c>
      <c r="B24" s="1" t="s">
        <v>449</v>
      </c>
      <c r="C24" s="1">
        <v>2</v>
      </c>
      <c r="D24" s="1" t="s">
        <v>53</v>
      </c>
      <c r="E24" s="1" t="s">
        <v>400</v>
      </c>
      <c r="F24" s="1"/>
      <c r="G24" s="1"/>
      <c r="H24" s="1"/>
      <c r="I24" s="1"/>
      <c r="J24" s="1" t="str">
        <f>IF(ISBLANK(F24), "", F24 &amp; "🔪")&amp;IF(ISBLANK(G24), "", G24 &amp; "🛡️")&amp;IF(ISBLANK(H24), "", H24 &amp; "❤️")&amp;IFERROR(VLOOKUP(I24, Enemies!A$2:C$37, 3, FALSE), "")</f>
        <v/>
      </c>
      <c r="K24" s="1" t="s">
        <v>461</v>
      </c>
      <c r="L24" s="1" t="s">
        <v>108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F24" t="s">
        <v>390</v>
      </c>
    </row>
    <row r="25" spans="1:32" x14ac:dyDescent="0.25">
      <c r="A25" s="1" t="s">
        <v>91</v>
      </c>
      <c r="B25" s="1" t="s">
        <v>379</v>
      </c>
      <c r="C25" s="1">
        <v>1</v>
      </c>
      <c r="D25" s="1" t="s">
        <v>54</v>
      </c>
      <c r="E25" s="1" t="s">
        <v>400</v>
      </c>
      <c r="F25" s="1"/>
      <c r="G25" s="1">
        <v>10</v>
      </c>
      <c r="H25" s="1"/>
      <c r="I25" s="1"/>
      <c r="J25" s="1" t="str">
        <f>IF(ISBLANK(F25), "", F25 &amp; "🔪")&amp;IF(ISBLANK(G25), "", G25 &amp; "🛡️")&amp;IF(ISBLANK(H25), "", H25 &amp; "❤️")&amp;IFERROR(VLOOKUP(I25, Enemies!A$2:C$37, 3, FALSE), "")</f>
        <v>10🛡️</v>
      </c>
      <c r="K25" s="1" t="s">
        <v>3</v>
      </c>
      <c r="L25" s="1">
        <v>10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F25" t="s">
        <v>391</v>
      </c>
    </row>
    <row r="26" spans="1:32" x14ac:dyDescent="0.25">
      <c r="A26" s="1" t="s">
        <v>92</v>
      </c>
      <c r="B26" s="1" t="s">
        <v>459</v>
      </c>
      <c r="C26" s="1">
        <v>1</v>
      </c>
      <c r="D26" s="1" t="s">
        <v>53</v>
      </c>
      <c r="E26" s="1" t="s">
        <v>399</v>
      </c>
      <c r="F26" s="1">
        <v>12</v>
      </c>
      <c r="G26" s="1"/>
      <c r="H26" s="1">
        <v>6</v>
      </c>
      <c r="I26" s="1"/>
      <c r="J26" s="1" t="str">
        <f>IF(ISBLANK(F26), "", F26 &amp; "🔪")&amp;IF(ISBLANK(G26), "", G26 &amp; "🛡️")&amp;IF(ISBLANK(H26), "", H26 &amp; "❤️")&amp;IFERROR(VLOOKUP(I26, Enemies!A$2:C$37, 3, FALSE), "")</f>
        <v>12🔪6❤️</v>
      </c>
      <c r="K26" s="1" t="s">
        <v>2</v>
      </c>
      <c r="L26" s="1" t="s">
        <v>460</v>
      </c>
      <c r="M26" s="1" t="s">
        <v>6</v>
      </c>
      <c r="N26" s="1">
        <v>6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F26" t="s">
        <v>396</v>
      </c>
    </row>
    <row r="27" spans="1:32" x14ac:dyDescent="0.25">
      <c r="A27" s="1" t="s">
        <v>93</v>
      </c>
      <c r="B27" s="1" t="s">
        <v>465</v>
      </c>
      <c r="C27" s="1">
        <v>1</v>
      </c>
      <c r="D27" s="1" t="s">
        <v>53</v>
      </c>
      <c r="E27" s="1" t="s">
        <v>399</v>
      </c>
      <c r="F27" s="1">
        <v>12</v>
      </c>
      <c r="G27" s="1">
        <v>12</v>
      </c>
      <c r="H27" s="1"/>
      <c r="I27" s="1"/>
      <c r="J27" s="1" t="str">
        <f>IF(ISBLANK(F27), "", F27 &amp; "🔪")&amp;IF(ISBLANK(G27), "", G27 &amp; "🛡️")&amp;IF(ISBLANK(H27), "", H27 &amp; "❤️")&amp;IFERROR(VLOOKUP(I27, Enemies!A$2:C$37, 3, FALSE), "")</f>
        <v>12🔪12🛡️</v>
      </c>
      <c r="K27" s="1" t="s">
        <v>2</v>
      </c>
      <c r="L27" s="1" t="s">
        <v>460</v>
      </c>
      <c r="M27" s="1" t="s">
        <v>3</v>
      </c>
      <c r="N27" s="1">
        <v>12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2" x14ac:dyDescent="0.25">
      <c r="A28" s="1" t="s">
        <v>94</v>
      </c>
      <c r="B28" s="1" t="s">
        <v>466</v>
      </c>
      <c r="C28" s="1">
        <v>1</v>
      </c>
      <c r="D28" s="1" t="s">
        <v>54</v>
      </c>
      <c r="E28" s="1" t="s">
        <v>399</v>
      </c>
      <c r="F28" s="1"/>
      <c r="G28" s="1">
        <v>12</v>
      </c>
      <c r="H28" s="1">
        <v>6</v>
      </c>
      <c r="I28" s="1"/>
      <c r="J28" s="1" t="str">
        <f>IF(ISBLANK(F28), "", F28 &amp; "🔪")&amp;IF(ISBLANK(G28), "", G28 &amp; "🛡️")&amp;IF(ISBLANK(H28), "", H28 &amp; "❤️")&amp;IFERROR(VLOOKUP(I28, Enemies!A$2:C$37, 3, FALSE), "")</f>
        <v>12🛡️6❤️</v>
      </c>
      <c r="K28" s="1" t="s">
        <v>3</v>
      </c>
      <c r="L28" s="1">
        <v>12</v>
      </c>
      <c r="M28" s="1" t="s">
        <v>6</v>
      </c>
      <c r="N28" s="1">
        <v>6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2" x14ac:dyDescent="0.25">
      <c r="A29" s="1" t="s">
        <v>95</v>
      </c>
      <c r="B29" s="1" t="s">
        <v>467</v>
      </c>
      <c r="C29" s="1">
        <v>2</v>
      </c>
      <c r="D29" s="1" t="s">
        <v>53</v>
      </c>
      <c r="E29" s="1" t="s">
        <v>399</v>
      </c>
      <c r="F29" s="1">
        <v>12</v>
      </c>
      <c r="G29" s="1">
        <v>12</v>
      </c>
      <c r="H29" s="1">
        <v>6</v>
      </c>
      <c r="I29" s="1"/>
      <c r="J29" s="1" t="str">
        <f>IF(ISBLANK(F29), "", F29 &amp; "🔪")&amp;IF(ISBLANK(G29), "", G29 &amp; "🛡️")&amp;IF(ISBLANK(H29), "", H29 &amp; "❤️")&amp;IFERROR(VLOOKUP(I29, Enemies!A$2:C$37, 3, FALSE), "")</f>
        <v>12🔪12🛡️6❤️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2" x14ac:dyDescent="0.25">
      <c r="A30" s="1" t="s">
        <v>318</v>
      </c>
      <c r="B30" s="1"/>
      <c r="C30" s="1"/>
      <c r="D30" s="1"/>
      <c r="E30" s="1"/>
      <c r="F30" s="1"/>
      <c r="G30" s="1"/>
      <c r="H30" s="1"/>
      <c r="I30" s="1"/>
      <c r="J30" s="1" t="str">
        <f>IF(ISBLANK(F30), "", F30 &amp; "🔪")&amp;IF(ISBLANK(G30), "", G30 &amp; "🛡️")&amp;IF(ISBLANK(H30), "", H30 &amp; "❤️")&amp;IFERROR(VLOOKUP(I30, Enemies!A$2:C$37, 3, FALSE), "")</f>
        <v/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2" x14ac:dyDescent="0.25">
      <c r="A31" s="1" t="s">
        <v>319</v>
      </c>
      <c r="B31" s="1"/>
      <c r="C31" s="1"/>
      <c r="D31" s="1"/>
      <c r="E31" s="1"/>
      <c r="F31" s="1"/>
      <c r="G31" s="1"/>
      <c r="H31" s="1"/>
      <c r="I31" s="1"/>
      <c r="J31" s="1" t="str">
        <f>IF(ISBLANK(F31), "", F31 &amp; "🔪")&amp;IF(ISBLANK(G31), "", G31 &amp; "🛡️")&amp;IF(ISBLANK(H31), "", H31 &amp; "❤️")&amp;IFERROR(VLOOKUP(I31, Enemies!A$2:C$37, 3, FALSE), "")</f>
        <v/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2" x14ac:dyDescent="0.25">
      <c r="A32" s="1" t="s">
        <v>320</v>
      </c>
      <c r="B32" s="1"/>
      <c r="C32" s="1"/>
      <c r="D32" s="1"/>
      <c r="E32" s="1"/>
      <c r="F32" s="1"/>
      <c r="G32" s="1"/>
      <c r="H32" s="1"/>
      <c r="I32" s="1"/>
      <c r="J32" s="1" t="str">
        <f>IF(ISBLANK(F32), "", F32 &amp; "🔪")&amp;IF(ISBLANK(G32), "", G32 &amp; "🛡️")&amp;IF(ISBLANK(H32), "", H32 &amp; "❤️")&amp;IFERROR(VLOOKUP(I32, Enemies!A$2:C$37, 3, FALSE), "")</f>
        <v/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 t="s">
        <v>321</v>
      </c>
      <c r="B33" s="1"/>
      <c r="C33" s="1"/>
      <c r="D33" s="1"/>
      <c r="E33" s="1"/>
      <c r="F33" s="1"/>
      <c r="G33" s="1"/>
      <c r="H33" s="1"/>
      <c r="I33" s="1"/>
      <c r="J33" s="1" t="str">
        <f>IF(ISBLANK(F33), "", F33 &amp; "🔪")&amp;IF(ISBLANK(G33), "", G33 &amp; "🛡️")&amp;IF(ISBLANK(H33), "", H33 &amp; "❤️")&amp;IFERROR(VLOOKUP(I33, Enemies!A$2:C$37, 3, FALSE), "")</f>
        <v/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 t="s">
        <v>322</v>
      </c>
      <c r="B34" s="1"/>
      <c r="C34" s="1"/>
      <c r="D34" s="1"/>
      <c r="E34" s="1"/>
      <c r="F34" s="1"/>
      <c r="G34" s="1"/>
      <c r="H34" s="1"/>
      <c r="I34" s="1"/>
      <c r="J34" s="1" t="str">
        <f>IF(ISBLANK(F34), "", F34 &amp; "🔪")&amp;IF(ISBLANK(G34), "", G34 &amp; "🛡️")&amp;IF(ISBLANK(H34), "", H34 &amp; "❤️")&amp;IFERROR(VLOOKUP(I34, Enemies!A$2:C$37, 3, FALSE), "")</f>
        <v/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 t="s">
        <v>122</v>
      </c>
      <c r="B35" s="1"/>
      <c r="C35" s="1"/>
      <c r="D35" s="1"/>
      <c r="E35" s="1"/>
      <c r="F35" s="1"/>
      <c r="G35" s="1"/>
      <c r="H35" s="1"/>
      <c r="I35" s="1"/>
      <c r="J35" s="1" t="str">
        <f>IF(ISBLANK(F35), "", F35 &amp; "🔪")&amp;IF(ISBLANK(G35), "", G35 &amp; "🛡️")&amp;IF(ISBLANK(H35), "", H35 &amp; "❤️")&amp;IFERROR(VLOOKUP(I35, Enemies!A$2:C$37, 3, FALSE), "")</f>
        <v/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 t="s">
        <v>123</v>
      </c>
      <c r="B36" s="1"/>
      <c r="C36" s="1"/>
      <c r="D36" s="1"/>
      <c r="E36" s="1"/>
      <c r="F36" s="1"/>
      <c r="G36" s="1"/>
      <c r="H36" s="1"/>
      <c r="I36" s="1"/>
      <c r="J36" s="1" t="str">
        <f>IF(ISBLANK(F36), "", F36 &amp; "🔪")&amp;IF(ISBLANK(G36), "", G36 &amp; "🛡️")&amp;IF(ISBLANK(H36), "", H36 &amp; "❤️")&amp;IFERROR(VLOOKUP(I36, Enemies!A$2:C$37, 3, FALSE), "")</f>
        <v/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 t="s">
        <v>6</v>
      </c>
      <c r="B37" s="1"/>
      <c r="C37" s="1"/>
      <c r="D37" s="1"/>
      <c r="E37" s="1"/>
      <c r="F37" s="1"/>
      <c r="G37" s="1"/>
      <c r="H37" s="1"/>
      <c r="I37" s="1"/>
      <c r="J37" s="1" t="str">
        <f>IF(ISBLANK(F37), "", F37 &amp; "🔪")&amp;IF(ISBLANK(G37), "", G37 &amp; "🛡️")&amp;IF(ISBLANK(H37), "", H37 &amp; "❤️")&amp;IFERROR(VLOOKUP(I37, Enemies!A$2:C$37, 3, FALSE), "")</f>
        <v/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 t="s">
        <v>161</v>
      </c>
      <c r="B38" s="1"/>
      <c r="C38" s="1"/>
      <c r="D38" s="1"/>
      <c r="E38" s="1"/>
      <c r="F38" s="1"/>
      <c r="G38" s="1"/>
      <c r="H38" s="1"/>
      <c r="I38" s="1"/>
      <c r="J38" s="1" t="str">
        <f>IF(ISBLANK(F38), "", F38 &amp; "🔪")&amp;IF(ISBLANK(G38), "", G38 &amp; "🛡️")&amp;IF(ISBLANK(H38), "", H38 &amp; "❤️")&amp;IFERROR(VLOOKUP(I38, Enemies!A$2:C$37, 3, FALSE), "")</f>
        <v/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25">
      <c r="A39" s="1" t="s">
        <v>316</v>
      </c>
      <c r="B39" s="1" t="s">
        <v>463</v>
      </c>
      <c r="C39" s="1">
        <v>0</v>
      </c>
      <c r="D39" s="1" t="s">
        <v>53</v>
      </c>
      <c r="E39" s="1" t="s">
        <v>400</v>
      </c>
      <c r="F39" s="1">
        <v>5</v>
      </c>
      <c r="G39" s="1"/>
      <c r="H39" s="1"/>
      <c r="I39" s="1"/>
      <c r="J39" s="1" t="str">
        <f>IF(ISBLANK(F39), "", F39 &amp; "🔪")&amp;IF(ISBLANK(G39), "", G39 &amp; "🛡️")&amp;IF(ISBLANK(H39), "", H39 &amp; "❤️")&amp;IFERROR(VLOOKUP(I39, Enemies!A$2:C$37, 3, FALSE), "")</f>
        <v>5🔪</v>
      </c>
      <c r="K39" s="1" t="s">
        <v>2</v>
      </c>
      <c r="L39" s="1" t="s">
        <v>371</v>
      </c>
      <c r="M39" s="1" t="s">
        <v>461</v>
      </c>
      <c r="N39" s="1" t="s">
        <v>462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25">
      <c r="A40" s="1" t="s">
        <v>170</v>
      </c>
      <c r="B40" s="1" t="s">
        <v>464</v>
      </c>
      <c r="C40" s="1">
        <v>0</v>
      </c>
      <c r="D40" s="1" t="s">
        <v>172</v>
      </c>
      <c r="E40" s="1" t="s">
        <v>400</v>
      </c>
      <c r="F40" s="1">
        <v>4</v>
      </c>
      <c r="G40" s="1"/>
      <c r="H40" s="1"/>
      <c r="I40" s="1"/>
      <c r="J40" s="1" t="str">
        <f>IF(ISBLANK(F40), "", F40 &amp; "🔪")&amp;IF(ISBLANK(G40), "", G40 &amp; "🛡️")&amp;IF(ISBLANK(H40), "", H40 &amp; "❤️")&amp;IFERROR(VLOOKUP(I40, Enemies!A$2:C$37, 3, FALSE), "")</f>
        <v>4🔪</v>
      </c>
      <c r="K40" s="1" t="s">
        <v>2</v>
      </c>
      <c r="L40" s="1" t="s">
        <v>454</v>
      </c>
      <c r="M40" s="1" t="s">
        <v>2</v>
      </c>
      <c r="N40" s="1" t="s">
        <v>454</v>
      </c>
      <c r="O40" s="1" t="s">
        <v>2</v>
      </c>
      <c r="P40" s="1" t="s">
        <v>454</v>
      </c>
      <c r="Q40" s="1" t="s">
        <v>2</v>
      </c>
      <c r="R40" s="1" t="s">
        <v>454</v>
      </c>
      <c r="S40" s="99" t="s">
        <v>106</v>
      </c>
      <c r="T40">
        <v>1</v>
      </c>
      <c r="U40" s="1" t="s">
        <v>165</v>
      </c>
      <c r="V40" s="1" t="s">
        <v>455</v>
      </c>
      <c r="W40" s="1"/>
      <c r="X40" s="1"/>
      <c r="Y40" s="1"/>
      <c r="Z40" s="1"/>
      <c r="AA40" s="1"/>
      <c r="AB40" s="1"/>
      <c r="AC40" s="1"/>
      <c r="AD40" s="1"/>
    </row>
    <row r="41" spans="1:30" x14ac:dyDescent="0.25">
      <c r="A41" s="1" t="s">
        <v>171</v>
      </c>
      <c r="B41" s="1"/>
      <c r="C41" s="1"/>
      <c r="D41" s="1"/>
      <c r="E41" s="1"/>
      <c r="F41" s="1"/>
      <c r="G41" s="1"/>
      <c r="H41" s="1"/>
      <c r="I41" s="1"/>
      <c r="J41" s="1" t="str">
        <f>IF(ISBLANK(F41), "", F41 &amp; "🔪")&amp;IF(ISBLANK(G41), "", G41 &amp; "🛡️")&amp;IF(ISBLANK(H41), "", H41 &amp; "❤️")&amp;IFERROR(VLOOKUP(I41, Enemies!A$2:C$37, 3, FALSE), "")</f>
        <v/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25">
      <c r="A42" s="1" t="s">
        <v>302</v>
      </c>
      <c r="B42" s="1"/>
      <c r="C42" s="1"/>
      <c r="D42" s="1"/>
      <c r="E42" s="1"/>
      <c r="F42" s="1"/>
      <c r="G42" s="1"/>
      <c r="H42" s="1"/>
      <c r="I42" s="1"/>
      <c r="J42" s="1" t="str">
        <f>IF(ISBLANK(F42), "", F42 &amp; "🔪")&amp;IF(ISBLANK(G42), "", G42 &amp; "🛡️")&amp;IF(ISBLANK(H42), "", H42 &amp; "❤️")&amp;IFERROR(VLOOKUP(I42, Enemies!A$2:C$37, 3, FALSE), "")</f>
        <v/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25">
      <c r="A43" s="1" t="s">
        <v>314</v>
      </c>
      <c r="B43" s="1"/>
      <c r="C43" s="1"/>
      <c r="D43" s="1"/>
      <c r="E43" s="1"/>
      <c r="F43" s="1"/>
      <c r="G43" s="1"/>
      <c r="H43" s="1"/>
      <c r="I43" s="1"/>
      <c r="J43" s="1" t="str">
        <f>IF(ISBLANK(F43), "", F43 &amp; "🔪")&amp;IF(ISBLANK(G43), "", G43 &amp; "🛡️")&amp;IF(ISBLANK(H43), "", H43 &amp; "❤️")&amp;IFERROR(VLOOKUP(I43, Enemies!A$2:C$37, 3, FALSE), "")</f>
        <v/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25">
      <c r="A44" s="1" t="s">
        <v>303</v>
      </c>
      <c r="B44" s="1"/>
      <c r="C44" s="1"/>
      <c r="D44" s="1"/>
      <c r="E44" s="1"/>
      <c r="F44" s="1"/>
      <c r="G44" s="1"/>
      <c r="H44" s="1"/>
      <c r="I44" s="1"/>
      <c r="J44" s="1" t="str">
        <f>IF(ISBLANK(F44), "", F44 &amp; "🔪")&amp;IF(ISBLANK(G44), "", G44 &amp; "🛡️")&amp;IF(ISBLANK(H44), "", H44 &amp; "❤️")&amp;IFERROR(VLOOKUP(I44, Enemies!A$2:C$37, 3, FALSE), "")</f>
        <v/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x14ac:dyDescent="0.25">
      <c r="A45" s="1" t="s">
        <v>309</v>
      </c>
      <c r="B45" s="1"/>
      <c r="C45" s="1"/>
      <c r="D45" s="1"/>
      <c r="E45" s="1"/>
      <c r="F45" s="1"/>
      <c r="G45" s="1"/>
      <c r="H45" s="1"/>
      <c r="I45" s="1"/>
      <c r="J45" s="1" t="str">
        <f>IF(ISBLANK(F45), "", F45 &amp; "🔪")&amp;IF(ISBLANK(G45), "", G45 &amp; "🛡️")&amp;IF(ISBLANK(H45), "", H45 &amp; "❤️")&amp;IFERROR(VLOOKUP(I45, Enemies!A$2:C$37, 3, FALSE), "")</f>
        <v/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x14ac:dyDescent="0.25">
      <c r="A46" s="1" t="s">
        <v>162</v>
      </c>
      <c r="B46" s="1"/>
      <c r="C46" s="1"/>
      <c r="D46" s="1"/>
      <c r="E46" s="1"/>
      <c r="F46" s="1"/>
      <c r="G46" s="1"/>
      <c r="H46" s="1"/>
      <c r="I46" s="1"/>
      <c r="J46" s="1" t="str">
        <f>IF(ISBLANK(F46), "", F46 &amp; "🔪")&amp;IF(ISBLANK(G46), "", G46 &amp; "🛡️")&amp;IF(ISBLANK(H46), "", H46 &amp; "❤️")&amp;IFERROR(VLOOKUP(I46, Enemies!A$2:C$37, 3, FALSE), "")</f>
        <v/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x14ac:dyDescent="0.25">
      <c r="A47" s="1" t="s">
        <v>163</v>
      </c>
      <c r="B47" s="1"/>
      <c r="C47" s="1"/>
      <c r="D47" s="1"/>
      <c r="E47" s="1"/>
      <c r="F47" s="1"/>
      <c r="G47" s="1"/>
      <c r="H47" s="1"/>
      <c r="I47" s="1"/>
      <c r="J47" s="1" t="str">
        <f>IF(ISBLANK(F47), "", F47 &amp; "🔪")&amp;IF(ISBLANK(G47), "", G47 &amp; "🛡️")&amp;IF(ISBLANK(H47), "", H47 &amp; "❤️")&amp;IFERROR(VLOOKUP(I47, Enemies!A$2:C$37, 3, FALSE), "")</f>
        <v/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x14ac:dyDescent="0.25">
      <c r="A48" s="1" t="s">
        <v>180</v>
      </c>
      <c r="B48" s="1"/>
      <c r="C48" s="1"/>
      <c r="D48" s="1"/>
      <c r="E48" s="1"/>
      <c r="F48" s="1"/>
      <c r="G48" s="1"/>
      <c r="H48" s="1"/>
      <c r="I48" s="1"/>
      <c r="J48" s="1" t="str">
        <f>IF(ISBLANK(F48), "", F48 &amp; "🔪")&amp;IF(ISBLANK(G48), "", G48 &amp; "🛡️")&amp;IF(ISBLANK(H48), "", H48 &amp; "❤️")&amp;IFERROR(VLOOKUP(I48, Enemies!A$2:C$37, 3, FALSE), "")</f>
        <v/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x14ac:dyDescent="0.25">
      <c r="A49" s="1" t="s">
        <v>181</v>
      </c>
      <c r="B49" s="1"/>
      <c r="C49" s="1"/>
      <c r="D49" s="1"/>
      <c r="E49" s="1"/>
      <c r="F49" s="1"/>
      <c r="G49" s="1"/>
      <c r="H49" s="1"/>
      <c r="I49" s="1"/>
      <c r="J49" s="1" t="str">
        <f>IF(ISBLANK(F49), "", F49 &amp; "🔪")&amp;IF(ISBLANK(G49), "", G49 &amp; "🛡️")&amp;IF(ISBLANK(H49), "", H49 &amp; "❤️")&amp;IFERROR(VLOOKUP(I49, Enemies!A$2:C$37, 3, FALSE), "")</f>
        <v/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x14ac:dyDescent="0.25">
      <c r="A50" s="1" t="s">
        <v>87</v>
      </c>
      <c r="B50" s="1"/>
      <c r="C50" s="1"/>
      <c r="D50" s="1"/>
      <c r="E50" s="1"/>
      <c r="F50" s="1"/>
      <c r="G50" s="1"/>
      <c r="H50" s="1"/>
      <c r="I50" s="1"/>
      <c r="J50" s="1" t="str">
        <f>IF(ISBLANK(F50), "", F50 &amp; "🔪")&amp;IF(ISBLANK(G50), "", G50 &amp; "🛡️")&amp;IF(ISBLANK(H50), "", H50 &amp; "❤️")&amp;IFERROR(VLOOKUP(I50, Enemies!A$2:C$37, 3, FALSE), "")</f>
        <v/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x14ac:dyDescent="0.25">
      <c r="A51" s="1" t="s">
        <v>198</v>
      </c>
      <c r="B51" s="1"/>
      <c r="C51" s="1"/>
      <c r="D51" s="1"/>
      <c r="E51" s="1"/>
      <c r="F51" s="1"/>
      <c r="G51" s="1"/>
      <c r="H51" s="1"/>
      <c r="I51" s="1"/>
      <c r="J51" s="1" t="str">
        <f>IF(ISBLANK(F51), "", F51 &amp; "🔪")&amp;IF(ISBLANK(G51), "", G51 &amp; "🛡️")&amp;IF(ISBLANK(H51), "", H51 &amp; "❤️")&amp;IFERROR(VLOOKUP(I51, Enemies!A$2:C$37, 3, FALSE), "")</f>
        <v/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x14ac:dyDescent="0.25">
      <c r="A52" s="1" t="s">
        <v>197</v>
      </c>
      <c r="B52" s="1"/>
      <c r="C52" s="1"/>
      <c r="D52" s="1"/>
      <c r="E52" s="1"/>
      <c r="F52" s="1"/>
      <c r="G52" s="1"/>
      <c r="H52" s="1"/>
      <c r="I52" s="1"/>
      <c r="J52" s="1" t="str">
        <f>IF(ISBLANK(F52), "", F52 &amp; "🔪")&amp;IF(ISBLANK(G52), "", G52 &amp; "🛡️")&amp;IF(ISBLANK(H52), "", H52 &amp; "❤️")&amp;IFERROR(VLOOKUP(I52, Enemies!A$2:C$37, 3, FALSE), "")</f>
        <v/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x14ac:dyDescent="0.25">
      <c r="A53" s="1" t="s">
        <v>208</v>
      </c>
      <c r="B53" s="1"/>
      <c r="C53" s="1"/>
      <c r="D53" s="1"/>
      <c r="E53" s="1"/>
      <c r="F53" s="1"/>
      <c r="G53" s="1"/>
      <c r="H53" s="1"/>
      <c r="I53" s="1"/>
      <c r="J53" s="1" t="str">
        <f>IF(ISBLANK(F53), "", F53 &amp; "🔪")&amp;IF(ISBLANK(G53), "", G53 &amp; "🛡️")&amp;IF(ISBLANK(H53), "", H53 &amp; "❤️")&amp;IFERROR(VLOOKUP(I53, Enemies!A$2:C$37, 3, FALSE), "")</f>
        <v/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x14ac:dyDescent="0.25">
      <c r="A54" s="1" t="s">
        <v>283</v>
      </c>
      <c r="B54" s="1"/>
      <c r="C54" s="1"/>
      <c r="D54" s="1"/>
      <c r="E54" s="1"/>
      <c r="F54" s="1"/>
      <c r="G54" s="1"/>
      <c r="H54" s="1"/>
      <c r="I54" s="1"/>
      <c r="J54" s="1" t="str">
        <f>IF(ISBLANK(F54), "", F54 &amp; "🔪")&amp;IF(ISBLANK(G54), "", G54 &amp; "🛡️")&amp;IF(ISBLANK(H54), "", H54 &amp; "❤️")&amp;IFERROR(VLOOKUP(I54, Enemies!A$2:C$37, 3, FALSE), "")</f>
        <v/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x14ac:dyDescent="0.25">
      <c r="A55" s="1" t="s">
        <v>206</v>
      </c>
      <c r="B55" s="1"/>
      <c r="C55" s="1"/>
      <c r="D55" s="1"/>
      <c r="E55" s="1"/>
      <c r="F55" s="1"/>
      <c r="G55" s="1"/>
      <c r="H55" s="1"/>
      <c r="I55" s="1"/>
      <c r="J55" s="1" t="str">
        <f>IF(ISBLANK(F55), "", F55 &amp; "🔪")&amp;IF(ISBLANK(G55), "", G55 &amp; "🛡️")&amp;IF(ISBLANK(H55), "", H55 &amp; "❤️")&amp;IFERROR(VLOOKUP(I55, Enemies!A$2:C$37, 3, FALSE), "")</f>
        <v/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x14ac:dyDescent="0.25">
      <c r="A56" s="1" t="s">
        <v>210</v>
      </c>
      <c r="B56" s="1"/>
      <c r="C56" s="1"/>
      <c r="D56" s="1"/>
      <c r="E56" s="1"/>
      <c r="F56" s="1"/>
      <c r="G56" s="1"/>
      <c r="H56" s="1"/>
      <c r="I56" s="1"/>
      <c r="J56" s="1" t="str">
        <f>IF(ISBLANK(F56), "", F56 &amp; "🔪")&amp;IF(ISBLANK(G56), "", G56 &amp; "🛡️")&amp;IF(ISBLANK(H56), "", H56 &amp; "❤️")&amp;IFERROR(VLOOKUP(I56, Enemies!A$2:C$37, 3, FALSE), "")</f>
        <v/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x14ac:dyDescent="0.25">
      <c r="A57" s="1" t="s">
        <v>211</v>
      </c>
      <c r="B57" s="1"/>
      <c r="C57" s="1"/>
      <c r="D57" s="1"/>
      <c r="E57" s="1"/>
      <c r="F57" s="1"/>
      <c r="G57" s="1"/>
      <c r="H57" s="1"/>
      <c r="I57" s="1"/>
      <c r="J57" s="1" t="str">
        <f>IF(ISBLANK(F57), "", F57 &amp; "🔪")&amp;IF(ISBLANK(G57), "", G57 &amp; "🛡️")&amp;IF(ISBLANK(H57), "", H57 &amp; "❤️")&amp;IFERROR(VLOOKUP(I57, Enemies!A$2:C$37, 3, FALSE), "")</f>
        <v/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x14ac:dyDescent="0.25">
      <c r="A58" s="1" t="s">
        <v>311</v>
      </c>
      <c r="B58" s="1"/>
      <c r="C58" s="1"/>
      <c r="D58" s="1"/>
      <c r="E58" s="1"/>
      <c r="F58" s="1"/>
      <c r="G58" s="1"/>
      <c r="H58" s="1"/>
      <c r="I58" s="1"/>
      <c r="J58" s="1" t="str">
        <f>IF(ISBLANK(F58), "", F58 &amp; "🔪")&amp;IF(ISBLANK(G58), "", G58 &amp; "🛡️")&amp;IF(ISBLANK(H58), "", H58 &amp; "❤️")&amp;IFERROR(VLOOKUP(I58, Enemies!A$2:C$37, 3, FALSE), "")</f>
        <v/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x14ac:dyDescent="0.25">
      <c r="A59" s="1" t="s">
        <v>313</v>
      </c>
      <c r="B59" s="1"/>
      <c r="C59" s="1"/>
      <c r="D59" s="1"/>
      <c r="E59" s="1"/>
      <c r="F59" s="1"/>
      <c r="G59" s="1"/>
      <c r="H59" s="1"/>
      <c r="I59" s="1"/>
      <c r="J59" s="1" t="str">
        <f>IF(ISBLANK(F59), "", F59 &amp; "🔪")&amp;IF(ISBLANK(G59), "", G59 &amp; "🛡️")&amp;IF(ISBLANK(H59), "", H59 &amp; "❤️")&amp;IFERROR(VLOOKUP(I59, Enemies!A$2:C$37, 3, FALSE), "")</f>
        <v/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x14ac:dyDescent="0.25">
      <c r="A60" s="1" t="s">
        <v>312</v>
      </c>
      <c r="B60" s="1"/>
      <c r="C60" s="1"/>
      <c r="D60" s="1"/>
      <c r="E60" s="1"/>
      <c r="F60" s="1"/>
      <c r="G60" s="1"/>
      <c r="H60" s="1"/>
      <c r="I60" s="1"/>
      <c r="J60" s="1" t="str">
        <f>IF(ISBLANK(F60), "", F60 &amp; "🔪")&amp;IF(ISBLANK(G60), "", G60 &amp; "🛡️")&amp;IF(ISBLANK(H60), "", H60 &amp; "❤️")&amp;IFERROR(VLOOKUP(I60, Enemies!A$2:C$37, 3, FALSE), "")</f>
        <v/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x14ac:dyDescent="0.25">
      <c r="A61" s="1" t="s">
        <v>338</v>
      </c>
      <c r="B61" s="1"/>
      <c r="C61" s="1"/>
      <c r="D61" s="1"/>
      <c r="E61" s="1"/>
      <c r="F61" s="1"/>
      <c r="G61" s="1"/>
      <c r="H61" s="1"/>
      <c r="I61" s="1"/>
      <c r="J61" s="1" t="str">
        <f>IF(ISBLANK(F61), "", F61 &amp; "🔪")&amp;IF(ISBLANK(G61), "", G61 &amp; "🛡️")&amp;IF(ISBLANK(H61), "", H61 &amp; "❤️")&amp;IFERROR(VLOOKUP(I61, Enemies!A$2:C$37, 3, FALSE), "")</f>
        <v/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x14ac:dyDescent="0.25">
      <c r="A62" s="1" t="s">
        <v>214</v>
      </c>
      <c r="B62" s="1"/>
      <c r="C62" s="1"/>
      <c r="D62" s="1"/>
      <c r="E62" s="1"/>
      <c r="F62" s="1"/>
      <c r="G62" s="1"/>
      <c r="H62" s="1"/>
      <c r="I62" s="1"/>
      <c r="J62" s="1" t="str">
        <f>IF(ISBLANK(F62), "", F62 &amp; "🔪")&amp;IF(ISBLANK(G62), "", G62 &amp; "🛡️")&amp;IF(ISBLANK(H62), "", H62 &amp; "❤️")&amp;IFERROR(VLOOKUP(I62, Enemies!A$2:C$37, 3, FALSE), "")</f>
        <v/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5.75" thickBot="1" x14ac:dyDescent="0.3">
      <c r="A63" s="35" t="s">
        <v>216</v>
      </c>
      <c r="B63" s="35"/>
      <c r="C63" s="35"/>
      <c r="D63" s="35"/>
      <c r="E63" s="35"/>
      <c r="F63" s="35"/>
      <c r="G63" s="35"/>
      <c r="H63" s="35"/>
      <c r="I63" s="35"/>
      <c r="J63" s="1" t="str">
        <f>IF(ISBLANK(F63), "", F63 &amp; "🔪")&amp;IF(ISBLANK(G63), "", G63 &amp; "🛡️")&amp;IF(ISBLANK(H63), "", H63 &amp; "❤️")&amp;IFERROR(VLOOKUP(I63, Enemies!A$2:C$37, 3, FALSE), "")</f>
        <v/>
      </c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</row>
    <row r="64" spans="1:30" ht="15.75" thickTop="1" x14ac:dyDescent="0.25">
      <c r="A64" s="34" t="s">
        <v>226</v>
      </c>
      <c r="B64" s="34"/>
      <c r="C64" s="34"/>
      <c r="D64" s="34"/>
      <c r="E64" s="34"/>
      <c r="F64" s="34"/>
      <c r="G64" s="34"/>
      <c r="H64" s="34"/>
      <c r="I64" s="34"/>
      <c r="J64" s="1" t="str">
        <f>IF(ISBLANK(F64), "", F64 &amp; "🔪")&amp;IF(ISBLANK(G64), "", G64 &amp; "🛡️")&amp;IF(ISBLANK(H64), "", H64 &amp; "❤️")&amp;IFERROR(VLOOKUP(I64, Enemies!A$2:C$37, 3, FALSE), "")</f>
        <v/>
      </c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</row>
    <row r="65" spans="1:30" x14ac:dyDescent="0.25">
      <c r="A65" s="1" t="s">
        <v>227</v>
      </c>
      <c r="B65" s="1"/>
      <c r="C65" s="1"/>
      <c r="D65" s="1"/>
      <c r="E65" s="1"/>
      <c r="F65" s="1"/>
      <c r="G65" s="1"/>
      <c r="H65" s="1"/>
      <c r="I65" s="1"/>
      <c r="J65" s="1" t="str">
        <f>IF(ISBLANK(F65), "", F65 &amp; "🔪")&amp;IF(ISBLANK(G65), "", G65 &amp; "🛡️")&amp;IF(ISBLANK(H65), "", H65 &amp; "❤️")&amp;IFERROR(VLOOKUP(I65, Enemies!A$2:C$37, 3, FALSE), "")</f>
        <v/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x14ac:dyDescent="0.25">
      <c r="A66" s="1" t="s">
        <v>228</v>
      </c>
      <c r="B66" s="1"/>
      <c r="C66" s="1"/>
      <c r="D66" s="1"/>
      <c r="E66" s="1"/>
      <c r="F66" s="1"/>
      <c r="G66" s="1"/>
      <c r="H66" s="1"/>
      <c r="I66" s="1"/>
      <c r="J66" s="1" t="str">
        <f>IF(ISBLANK(F66), "", F66 &amp; "🔪")&amp;IF(ISBLANK(G66), "", G66 &amp; "🛡️")&amp;IF(ISBLANK(H66), "", H66 &amp; "❤️")&amp;IFERROR(VLOOKUP(I66, Enemies!A$2:C$37, 3, FALSE), "")</f>
        <v/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x14ac:dyDescent="0.25">
      <c r="A67" s="1" t="s">
        <v>229</v>
      </c>
      <c r="B67" s="1"/>
      <c r="C67" s="1"/>
      <c r="D67" s="1"/>
      <c r="E67" s="1"/>
      <c r="F67" s="1"/>
      <c r="G67" s="1"/>
      <c r="H67" s="1"/>
      <c r="I67" s="1"/>
      <c r="J67" s="1" t="str">
        <f>IF(ISBLANK(F67), "", F67 &amp; "🔪")&amp;IF(ISBLANK(G67), "", G67 &amp; "🛡️")&amp;IF(ISBLANK(H67), "", H67 &amp; "❤️")&amp;IFERROR(VLOOKUP(I67, Enemies!A$2:C$37, 3, FALSE), "")</f>
        <v/>
      </c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x14ac:dyDescent="0.25">
      <c r="A68" s="1" t="s">
        <v>230</v>
      </c>
      <c r="B68" s="1"/>
      <c r="C68" s="1"/>
      <c r="D68" s="1"/>
      <c r="E68" s="1"/>
      <c r="F68" s="1"/>
      <c r="G68" s="1"/>
      <c r="H68" s="1"/>
      <c r="I68" s="1"/>
      <c r="J68" s="1" t="str">
        <f>IF(ISBLANK(F68), "", F68 &amp; "🔪")&amp;IF(ISBLANK(G68), "", G68 &amp; "🛡️")&amp;IF(ISBLANK(H68), "", H68 &amp; "❤️")&amp;IFERROR(VLOOKUP(I68, Enemies!A$2:C$37, 3, FALSE), "")</f>
        <v/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x14ac:dyDescent="0.25">
      <c r="A69" s="1" t="s">
        <v>231</v>
      </c>
      <c r="B69" s="1"/>
      <c r="C69" s="1"/>
      <c r="D69" s="1"/>
      <c r="E69" s="1"/>
      <c r="F69" s="1"/>
      <c r="G69" s="1"/>
      <c r="H69" s="1"/>
      <c r="I69" s="1"/>
      <c r="J69" s="1" t="str">
        <f>IF(ISBLANK(F69), "", F69 &amp; "🔪")&amp;IF(ISBLANK(G69), "", G69 &amp; "🛡️")&amp;IF(ISBLANK(H69), "", H69 &amp; "❤️")&amp;IFERROR(VLOOKUP(I69, Enemies!A$2:C$37, 3, FALSE), "")</f>
        <v/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x14ac:dyDescent="0.25">
      <c r="A70" s="1" t="s">
        <v>232</v>
      </c>
      <c r="B70" s="1"/>
      <c r="C70" s="1"/>
      <c r="D70" s="1"/>
      <c r="E70" s="1"/>
      <c r="F70" s="1"/>
      <c r="G70" s="1"/>
      <c r="H70" s="1"/>
      <c r="I70" s="1"/>
      <c r="J70" s="1" t="str">
        <f>IF(ISBLANK(F70), "", F70 &amp; "🔪")&amp;IF(ISBLANK(G70), "", G70 &amp; "🛡️")&amp;IF(ISBLANK(H70), "", H70 &amp; "❤️")&amp;IFERROR(VLOOKUP(I70, Enemies!A$2:C$37, 3, FALSE), "")</f>
        <v/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x14ac:dyDescent="0.25">
      <c r="A71" s="1" t="s">
        <v>233</v>
      </c>
      <c r="B71" s="1"/>
      <c r="C71" s="1"/>
      <c r="D71" s="1"/>
      <c r="E71" s="1"/>
      <c r="F71" s="1"/>
      <c r="G71" s="1"/>
      <c r="H71" s="1"/>
      <c r="I71" s="1"/>
      <c r="J71" s="1" t="str">
        <f>IF(ISBLANK(F71), "", F71 &amp; "🔪")&amp;IF(ISBLANK(G71), "", G71 &amp; "🛡️")&amp;IF(ISBLANK(H71), "", H71 &amp; "❤️")&amp;IFERROR(VLOOKUP(I71, Enemies!A$2:C$37, 3, FALSE), "")</f>
        <v/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x14ac:dyDescent="0.25">
      <c r="A72" s="1" t="s">
        <v>234</v>
      </c>
      <c r="B72" s="1"/>
      <c r="C72" s="4"/>
      <c r="D72" s="4"/>
      <c r="E72" s="1"/>
      <c r="F72" s="1"/>
      <c r="G72" s="1"/>
      <c r="H72" s="1"/>
      <c r="I72" s="1"/>
      <c r="J72" s="1" t="str">
        <f>IF(ISBLANK(F72), "", F72 &amp; "🔪")&amp;IF(ISBLANK(G72), "", G72 &amp; "🛡️")&amp;IF(ISBLANK(H72), "", H72 &amp; "❤️")&amp;IFERROR(VLOOKUP(I72, Enemies!A$2:C$37, 3, FALSE), "")</f>
        <v/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x14ac:dyDescent="0.25">
      <c r="A73" s="1" t="s">
        <v>235</v>
      </c>
      <c r="B73" s="1"/>
      <c r="C73" s="1"/>
      <c r="D73" s="1"/>
      <c r="E73" s="1"/>
      <c r="F73" s="1"/>
      <c r="G73" s="1"/>
      <c r="H73" s="1"/>
      <c r="I73" s="1"/>
      <c r="J73" s="1" t="str">
        <f>IF(ISBLANK(F73), "", F73 &amp; "🔪")&amp;IF(ISBLANK(G73), "", G73 &amp; "🛡️")&amp;IF(ISBLANK(H73), "", H73 &amp; "❤️")&amp;IFERROR(VLOOKUP(I73, Enemies!A$2:C$37, 3, FALSE), "")</f>
        <v/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x14ac:dyDescent="0.25">
      <c r="A74" s="1" t="s">
        <v>287</v>
      </c>
      <c r="B74" s="1"/>
      <c r="C74" s="1"/>
      <c r="D74" s="1"/>
      <c r="E74" s="1"/>
      <c r="F74" s="1"/>
      <c r="G74" s="1"/>
      <c r="H74" s="1"/>
      <c r="I74" s="1"/>
      <c r="J74" s="1" t="str">
        <f>IF(ISBLANK(F74), "", F74 &amp; "🔪")&amp;IF(ISBLANK(G74), "", G74 &amp; "🛡️")&amp;IF(ISBLANK(H74), "", H74 &amp; "❤️")&amp;IFERROR(VLOOKUP(I74, Enemies!A$2:C$37, 3, FALSE), "")</f>
        <v/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x14ac:dyDescent="0.25">
      <c r="A75" s="1" t="s">
        <v>236</v>
      </c>
      <c r="B75" s="1"/>
      <c r="C75" s="1"/>
      <c r="D75" s="1"/>
      <c r="E75" s="1"/>
      <c r="F75" s="1"/>
      <c r="G75" s="1"/>
      <c r="H75" s="1"/>
      <c r="I75" s="1"/>
      <c r="J75" s="1" t="str">
        <f>IF(ISBLANK(F75), "", F75 &amp; "🔪")&amp;IF(ISBLANK(G75), "", G75 &amp; "🛡️")&amp;IF(ISBLANK(H75), "", H75 &amp; "❤️")&amp;IFERROR(VLOOKUP(I75, Enemies!A$2:C$37, 3, FALSE), "")</f>
        <v/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x14ac:dyDescent="0.25">
      <c r="A76" s="1" t="s">
        <v>237</v>
      </c>
      <c r="B76" s="1"/>
      <c r="C76" s="1"/>
      <c r="D76" s="1"/>
      <c r="E76" s="1"/>
      <c r="F76" s="1"/>
      <c r="G76" s="1"/>
      <c r="H76" s="1"/>
      <c r="I76" s="1"/>
      <c r="J76" s="1" t="str">
        <f>IF(ISBLANK(F76), "", F76 &amp; "🔪")&amp;IF(ISBLANK(G76), "", G76 &amp; "🛡️")&amp;IF(ISBLANK(H76), "", H76 &amp; "❤️")&amp;IFERROR(VLOOKUP(I76, Enemies!A$2:C$37, 3, FALSE), "")</f>
        <v/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x14ac:dyDescent="0.25">
      <c r="A77" s="1" t="s">
        <v>238</v>
      </c>
      <c r="B77" s="1"/>
      <c r="C77" s="1"/>
      <c r="D77" s="1"/>
      <c r="E77" s="1"/>
      <c r="F77" s="1"/>
      <c r="G77" s="1"/>
      <c r="H77" s="1"/>
      <c r="I77" s="1"/>
      <c r="J77" s="1" t="str">
        <f>IF(ISBLANK(F77), "", F77 &amp; "🔪")&amp;IF(ISBLANK(G77), "", G77 &amp; "🛡️")&amp;IF(ISBLANK(H77), "", H77 &amp; "❤️")&amp;IFERROR(VLOOKUP(I77, Enemies!A$2:C$37, 3, FALSE), "")</f>
        <v/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x14ac:dyDescent="0.25">
      <c r="A78" s="1" t="s">
        <v>239</v>
      </c>
      <c r="B78" s="1"/>
      <c r="C78" s="1"/>
      <c r="D78" s="1"/>
      <c r="E78" s="1"/>
      <c r="F78" s="1"/>
      <c r="G78" s="1"/>
      <c r="H78" s="1"/>
      <c r="I78" s="1"/>
      <c r="J78" s="1" t="str">
        <f>IF(ISBLANK(F78), "", F78 &amp; "🔪")&amp;IF(ISBLANK(G78), "", G78 &amp; "🛡️")&amp;IF(ISBLANK(H78), "", H78 &amp; "❤️")&amp;IFERROR(VLOOKUP(I78, Enemies!A$2:C$37, 3, FALSE), "")</f>
        <v/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x14ac:dyDescent="0.25">
      <c r="A79" s="1" t="s">
        <v>240</v>
      </c>
      <c r="B79" s="1"/>
      <c r="C79" s="1"/>
      <c r="D79" s="1"/>
      <c r="E79" s="1"/>
      <c r="F79" s="1"/>
      <c r="G79" s="1"/>
      <c r="H79" s="1"/>
      <c r="I79" s="1"/>
      <c r="J79" s="1" t="str">
        <f>IF(ISBLANK(F79), "", F79 &amp; "🔪")&amp;IF(ISBLANK(G79), "", G79 &amp; "🛡️")&amp;IF(ISBLANK(H79), "", H79 &amp; "❤️")&amp;IFERROR(VLOOKUP(I79, Enemies!A$2:C$37, 3, FALSE), "")</f>
        <v/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x14ac:dyDescent="0.25">
      <c r="A80" s="1" t="s">
        <v>89</v>
      </c>
      <c r="B80" s="1"/>
      <c r="C80" s="1"/>
      <c r="D80" s="1"/>
      <c r="E80" s="1"/>
      <c r="F80" s="1"/>
      <c r="G80" s="1"/>
      <c r="H80" s="1"/>
      <c r="I80" s="1"/>
      <c r="J80" s="1" t="str">
        <f>IF(ISBLANK(F80), "", F80 &amp; "🔪")&amp;IF(ISBLANK(G80), "", G80 &amp; "🛡️")&amp;IF(ISBLANK(H80), "", H80 &amp; "❤️")&amp;IFERROR(VLOOKUP(I80, Enemies!A$2:C$37, 3, FALSE), "")</f>
        <v/>
      </c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x14ac:dyDescent="0.25">
      <c r="A81" s="1" t="s">
        <v>241</v>
      </c>
      <c r="B81" s="1"/>
      <c r="C81" s="1"/>
      <c r="D81" s="1"/>
      <c r="E81" s="1"/>
      <c r="F81" s="1"/>
      <c r="G81" s="1"/>
      <c r="H81" s="1"/>
      <c r="I81" s="1"/>
      <c r="J81" s="1" t="str">
        <f>IF(ISBLANK(F81), "", F81 &amp; "🔪")&amp;IF(ISBLANK(G81), "", G81 &amp; "🛡️")&amp;IF(ISBLANK(H81), "", H81 &amp; "❤️")&amp;IFERROR(VLOOKUP(I81, Enemies!A$2:C$37, 3, FALSE), "")</f>
        <v/>
      </c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x14ac:dyDescent="0.25">
      <c r="A82" s="1" t="s">
        <v>242</v>
      </c>
      <c r="B82" s="1"/>
      <c r="C82" s="1"/>
      <c r="D82" s="1"/>
      <c r="E82" s="1"/>
      <c r="F82" s="1"/>
      <c r="G82" s="1"/>
      <c r="H82" s="1"/>
      <c r="I82" s="1"/>
      <c r="J82" s="1" t="str">
        <f>IF(ISBLANK(F82), "", F82 &amp; "🔪")&amp;IF(ISBLANK(G82), "", G82 &amp; "🛡️")&amp;IF(ISBLANK(H82), "", H82 &amp; "❤️")&amp;IFERROR(VLOOKUP(I82, Enemies!A$2:C$37, 3, FALSE), "")</f>
        <v/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x14ac:dyDescent="0.25">
      <c r="A83" s="1" t="s">
        <v>243</v>
      </c>
      <c r="B83" s="1"/>
      <c r="C83" s="1"/>
      <c r="D83" s="1"/>
      <c r="E83" s="1"/>
      <c r="F83" s="1"/>
      <c r="G83" s="1"/>
      <c r="H83" s="1"/>
      <c r="I83" s="1"/>
      <c r="J83" s="1" t="str">
        <f>IF(ISBLANK(F83), "", F83 &amp; "🔪")&amp;IF(ISBLANK(G83), "", G83 &amp; "🛡️")&amp;IF(ISBLANK(H83), "", H83 &amp; "❤️")&amp;IFERROR(VLOOKUP(I83, Enemies!A$2:C$37, 3, FALSE), "")</f>
        <v/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x14ac:dyDescent="0.25">
      <c r="A84" s="1" t="s">
        <v>244</v>
      </c>
      <c r="B84" s="1"/>
      <c r="C84" s="1"/>
      <c r="D84" s="1"/>
      <c r="E84" s="1"/>
      <c r="F84" s="1"/>
      <c r="G84" s="1"/>
      <c r="H84" s="1"/>
      <c r="I84" s="1"/>
      <c r="J84" s="1" t="str">
        <f>IF(ISBLANK(F84), "", F84 &amp; "🔪")&amp;IF(ISBLANK(G84), "", G84 &amp; "🛡️")&amp;IF(ISBLANK(H84), "", H84 &amp; "❤️")&amp;IFERROR(VLOOKUP(I84, Enemies!A$2:C$37, 3, FALSE), "")</f>
        <v/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x14ac:dyDescent="0.25">
      <c r="A85" s="1" t="s">
        <v>245</v>
      </c>
      <c r="B85" s="1"/>
      <c r="C85" s="1"/>
      <c r="D85" s="1"/>
      <c r="E85" s="1"/>
      <c r="F85" s="1"/>
      <c r="G85" s="1"/>
      <c r="H85" s="1"/>
      <c r="I85" s="1"/>
      <c r="J85" s="1" t="str">
        <f>IF(ISBLANK(F85), "", F85 &amp; "🔪")&amp;IF(ISBLANK(G85), "", G85 &amp; "🛡️")&amp;IF(ISBLANK(H85), "", H85 &amp; "❤️")&amp;IFERROR(VLOOKUP(I85, Enemies!A$2:C$37, 3, FALSE), "")</f>
        <v/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x14ac:dyDescent="0.25">
      <c r="A86" s="1" t="s">
        <v>246</v>
      </c>
      <c r="B86" s="1"/>
      <c r="C86" s="1"/>
      <c r="D86" s="1"/>
      <c r="E86" s="1"/>
      <c r="F86" s="1"/>
      <c r="G86" s="1"/>
      <c r="H86" s="1"/>
      <c r="I86" s="1"/>
      <c r="J86" s="1" t="str">
        <f>IF(ISBLANK(F86), "", F86 &amp; "🔪")&amp;IF(ISBLANK(G86), "", G86 &amp; "🛡️")&amp;IF(ISBLANK(H86), "", H86 &amp; "❤️")&amp;IFERROR(VLOOKUP(I86, Enemies!A$2:C$37, 3, FALSE), "")</f>
        <v/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x14ac:dyDescent="0.25">
      <c r="A87" s="1" t="s">
        <v>247</v>
      </c>
      <c r="B87" s="1"/>
      <c r="C87" s="1"/>
      <c r="D87" s="1"/>
      <c r="E87" s="1"/>
      <c r="F87" s="1"/>
      <c r="G87" s="1"/>
      <c r="H87" s="1"/>
      <c r="I87" s="1"/>
      <c r="J87" s="1" t="str">
        <f>IF(ISBLANK(F87), "", F87 &amp; "🔪")&amp;IF(ISBLANK(G87), "", G87 &amp; "🛡️")&amp;IF(ISBLANK(H87), "", H87 &amp; "❤️")&amp;IFERROR(VLOOKUP(I87, Enemies!A$2:C$37, 3, FALSE), "")</f>
        <v/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x14ac:dyDescent="0.25">
      <c r="A88" s="1" t="s">
        <v>248</v>
      </c>
      <c r="B88" s="1"/>
      <c r="C88" s="1"/>
      <c r="D88" s="1"/>
      <c r="E88" s="1"/>
      <c r="F88" s="1"/>
      <c r="G88" s="1"/>
      <c r="H88" s="1"/>
      <c r="I88" s="1"/>
      <c r="J88" s="1" t="str">
        <f>IF(ISBLANK(F88), "", F88 &amp; "🔪")&amp;IF(ISBLANK(G88), "", G88 &amp; "🛡️")&amp;IF(ISBLANK(H88), "", H88 &amp; "❤️")&amp;IFERROR(VLOOKUP(I88, Enemies!A$2:C$37, 3, FALSE), "")</f>
        <v/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x14ac:dyDescent="0.25">
      <c r="A89" s="1" t="s">
        <v>317</v>
      </c>
      <c r="B89" s="1"/>
      <c r="C89" s="1"/>
      <c r="D89" s="1"/>
      <c r="E89" s="1"/>
      <c r="F89" s="1"/>
      <c r="G89" s="1"/>
      <c r="H89" s="1"/>
      <c r="I89" s="1"/>
      <c r="J89" s="1" t="str">
        <f>IF(ISBLANK(F89), "", F89 &amp; "🔪")&amp;IF(ISBLANK(G89), "", G89 &amp; "🛡️")&amp;IF(ISBLANK(H89), "", H89 &amp; "❤️")&amp;IFERROR(VLOOKUP(I89, Enemies!A$2:C$37, 3, FALSE), "")</f>
        <v/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x14ac:dyDescent="0.25">
      <c r="A90" s="1" t="s">
        <v>249</v>
      </c>
      <c r="B90" s="1"/>
      <c r="C90" s="1"/>
      <c r="D90" s="1"/>
      <c r="E90" s="1"/>
      <c r="F90" s="1"/>
      <c r="G90" s="1"/>
      <c r="H90" s="1"/>
      <c r="I90" s="1"/>
      <c r="J90" s="1" t="str">
        <f>IF(ISBLANK(F90), "", F90 &amp; "🔪")&amp;IF(ISBLANK(G90), "", G90 &amp; "🛡️")&amp;IF(ISBLANK(H90), "", H90 &amp; "❤️")&amp;IFERROR(VLOOKUP(I90, Enemies!A$2:C$37, 3, FALSE), "")</f>
        <v/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x14ac:dyDescent="0.25">
      <c r="A91" s="1" t="s">
        <v>250</v>
      </c>
      <c r="B91" s="1"/>
      <c r="C91" s="1"/>
      <c r="D91" s="1"/>
      <c r="E91" s="1"/>
      <c r="F91" s="1"/>
      <c r="G91" s="1"/>
      <c r="H91" s="1"/>
      <c r="I91" s="1"/>
      <c r="J91" s="1" t="str">
        <f>IF(ISBLANK(F91), "", F91 &amp; "🔪")&amp;IF(ISBLANK(G91), "", G91 &amp; "🛡️")&amp;IF(ISBLANK(H91), "", H91 &amp; "❤️")&amp;IFERROR(VLOOKUP(I91, Enemies!A$2:C$37, 3, FALSE), "")</f>
        <v/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x14ac:dyDescent="0.25">
      <c r="A92" s="1" t="s">
        <v>251</v>
      </c>
      <c r="B92" s="1"/>
      <c r="C92" s="1"/>
      <c r="D92" s="1"/>
      <c r="E92" s="1"/>
      <c r="F92" s="1"/>
      <c r="G92" s="1"/>
      <c r="H92" s="1"/>
      <c r="I92" s="1"/>
      <c r="J92" s="1" t="str">
        <f>IF(ISBLANK(F92), "", F92 &amp; "🔪")&amp;IF(ISBLANK(G92), "", G92 &amp; "🛡️")&amp;IF(ISBLANK(H92), "", H92 &amp; "❤️")&amp;IFERROR(VLOOKUP(I92, Enemies!A$2:C$37, 3, FALSE), "")</f>
        <v/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x14ac:dyDescent="0.25">
      <c r="A93" s="1" t="s">
        <v>252</v>
      </c>
      <c r="B93" s="1"/>
      <c r="C93" s="1"/>
      <c r="D93" s="1"/>
      <c r="E93" s="1"/>
      <c r="F93" s="1"/>
      <c r="G93" s="1"/>
      <c r="H93" s="1"/>
      <c r="I93" s="1"/>
      <c r="J93" s="1" t="str">
        <f>IF(ISBLANK(F93), "", F93 &amp; "🔪")&amp;IF(ISBLANK(G93), "", G93 &amp; "🛡️")&amp;IF(ISBLANK(H93), "", H93 &amp; "❤️")&amp;IFERROR(VLOOKUP(I93, Enemies!A$2:C$37, 3, FALSE), "")</f>
        <v/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x14ac:dyDescent="0.25">
      <c r="A94" s="1" t="s">
        <v>253</v>
      </c>
      <c r="B94" s="1"/>
      <c r="C94" s="1"/>
      <c r="D94" s="1"/>
      <c r="E94" s="1"/>
      <c r="F94" s="1"/>
      <c r="G94" s="1"/>
      <c r="H94" s="1"/>
      <c r="I94" s="1"/>
      <c r="J94" s="1" t="str">
        <f>IF(ISBLANK(F94), "", F94 &amp; "🔪")&amp;IF(ISBLANK(G94), "", G94 &amp; "🛡️")&amp;IF(ISBLANK(H94), "", H94 &amp; "❤️")&amp;IFERROR(VLOOKUP(I94, Enemies!A$2:C$37, 3, FALSE), "")</f>
        <v/>
      </c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x14ac:dyDescent="0.25">
      <c r="A95" s="1" t="s">
        <v>254</v>
      </c>
      <c r="B95" s="1"/>
      <c r="C95" s="1"/>
      <c r="D95" s="1"/>
      <c r="E95" s="1"/>
      <c r="F95" s="1"/>
      <c r="G95" s="1"/>
      <c r="H95" s="1"/>
      <c r="I95" s="1"/>
      <c r="J95" s="1" t="str">
        <f>IF(ISBLANK(F95), "", F95 &amp; "🔪")&amp;IF(ISBLANK(G95), "", G95 &amp; "🛡️")&amp;IF(ISBLANK(H95), "", H95 &amp; "❤️")&amp;IFERROR(VLOOKUP(I95, Enemies!A$2:C$37, 3, FALSE), "")</f>
        <v/>
      </c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x14ac:dyDescent="0.25">
      <c r="A96" s="1" t="s">
        <v>255</v>
      </c>
      <c r="B96" s="1"/>
      <c r="C96" s="1"/>
      <c r="D96" s="1"/>
      <c r="E96" s="1"/>
      <c r="F96" s="1"/>
      <c r="G96" s="1"/>
      <c r="H96" s="1"/>
      <c r="I96" s="1"/>
      <c r="J96" s="1" t="str">
        <f>IF(ISBLANK(F96), "", F96 &amp; "🔪")&amp;IF(ISBLANK(G96), "", G96 &amp; "🛡️")&amp;IF(ISBLANK(H96), "", H96 &amp; "❤️")&amp;IFERROR(VLOOKUP(I96, Enemies!A$2:C$37, 3, FALSE), "")</f>
        <v/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x14ac:dyDescent="0.25">
      <c r="A97" s="1" t="s">
        <v>256</v>
      </c>
      <c r="B97" s="1"/>
      <c r="C97" s="1"/>
      <c r="D97" s="1"/>
      <c r="E97" s="1"/>
      <c r="F97" s="1"/>
      <c r="G97" s="1"/>
      <c r="H97" s="1"/>
      <c r="I97" s="1"/>
      <c r="J97" s="1" t="str">
        <f>IF(ISBLANK(F97), "", F97 &amp; "🔪")&amp;IF(ISBLANK(G97), "", G97 &amp; "🛡️")&amp;IF(ISBLANK(H97), "", H97 &amp; "❤️")&amp;IFERROR(VLOOKUP(I97, Enemies!A$2:C$37, 3, FALSE), "")</f>
        <v/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x14ac:dyDescent="0.25">
      <c r="A98" s="1" t="s">
        <v>257</v>
      </c>
      <c r="B98" s="1"/>
      <c r="C98" s="1"/>
      <c r="D98" s="1"/>
      <c r="E98" s="1"/>
      <c r="F98" s="1"/>
      <c r="G98" s="1"/>
      <c r="H98" s="1"/>
      <c r="I98" s="1"/>
      <c r="J98" s="1" t="str">
        <f>IF(ISBLANK(F98), "", F98 &amp; "🔪")&amp;IF(ISBLANK(G98), "", G98 &amp; "🛡️")&amp;IF(ISBLANK(H98), "", H98 &amp; "❤️")&amp;IFERROR(VLOOKUP(I98, Enemies!A$2:C$37, 3, FALSE), "")</f>
        <v/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x14ac:dyDescent="0.25">
      <c r="A99" s="1" t="s">
        <v>285</v>
      </c>
      <c r="B99" s="1"/>
      <c r="C99" s="1"/>
      <c r="D99" s="1"/>
      <c r="E99" s="1"/>
      <c r="F99" s="1"/>
      <c r="G99" s="1"/>
      <c r="H99" s="1"/>
      <c r="I99" s="1"/>
      <c r="J99" s="1" t="str">
        <f>IF(ISBLANK(F99), "", F99 &amp; "🔪")&amp;IF(ISBLANK(G99), "", G99 &amp; "🛡️")&amp;IF(ISBLANK(H99), "", H99 &amp; "❤️")&amp;IFERROR(VLOOKUP(I99, Enemies!A$2:C$37, 3, FALSE), "")</f>
        <v/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x14ac:dyDescent="0.25">
      <c r="A100" s="74" t="s">
        <v>325</v>
      </c>
      <c r="B100" s="74"/>
      <c r="C100" s="1"/>
      <c r="D100" s="1"/>
      <c r="E100" s="1"/>
      <c r="F100" s="1"/>
      <c r="G100" s="1"/>
      <c r="H100" s="1"/>
      <c r="I100" s="1"/>
      <c r="J100" s="1" t="str">
        <f>IF(ISBLANK(F100), "", F100 &amp; "🔪")&amp;IF(ISBLANK(G100), "", G100 &amp; "🛡️")&amp;IF(ISBLANK(H100), "", H100 &amp; "❤️")&amp;IFERROR(VLOOKUP(I100, Enemies!A$2:C$37, 3, FALSE), "")</f>
        <v/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x14ac:dyDescent="0.25">
      <c r="A101" s="74" t="s">
        <v>326</v>
      </c>
      <c r="B101" s="74"/>
      <c r="C101" s="1"/>
      <c r="D101" s="1"/>
      <c r="E101" s="1"/>
      <c r="F101" s="1"/>
      <c r="G101" s="1"/>
      <c r="H101" s="1"/>
      <c r="I101" s="1"/>
      <c r="J101" s="1" t="str">
        <f>IF(ISBLANK(F101), "", F101 &amp; "🔪")&amp;IF(ISBLANK(G101), "", G101 &amp; "🛡️")&amp;IF(ISBLANK(H101), "", H101 &amp; "❤️")&amp;IFERROR(VLOOKUP(I101, Enemies!A$2:C$37, 3, FALSE), "")</f>
        <v/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x14ac:dyDescent="0.25">
      <c r="A102" s="74" t="s">
        <v>324</v>
      </c>
      <c r="B102" s="74"/>
      <c r="C102" s="1"/>
      <c r="D102" s="1"/>
      <c r="E102" s="1"/>
      <c r="F102" s="1"/>
      <c r="G102" s="1"/>
      <c r="H102" s="1"/>
      <c r="I102" s="1"/>
      <c r="J102" s="1" t="str">
        <f>IF(ISBLANK(F102), "", F102 &amp; "🔪")&amp;IF(ISBLANK(G102), "", G102 &amp; "🛡️")&amp;IF(ISBLANK(H102), "", H102 &amp; "❤️")&amp;IFERROR(VLOOKUP(I102, Enemies!A$2:C$37, 3, FALSE), "")</f>
        <v/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AE88-DE77-4B69-9CED-B41CA7B1BCC6}">
  <sheetPr codeName="Sheet7"/>
  <dimension ref="A1:Y192455"/>
  <sheetViews>
    <sheetView zoomScale="73" workbookViewId="0">
      <selection activeCell="B38" sqref="B38:D38"/>
    </sheetView>
  </sheetViews>
  <sheetFormatPr baseColWidth="10" defaultColWidth="8.85546875" defaultRowHeight="15" x14ac:dyDescent="0.25"/>
  <cols>
    <col min="1" max="1" width="18.140625" bestFit="1" customWidth="1"/>
    <col min="2" max="2" width="7.7109375" bestFit="1" customWidth="1"/>
    <col min="3" max="3" width="5.28515625" bestFit="1" customWidth="1"/>
    <col min="4" max="5" width="4.5703125" bestFit="1" customWidth="1"/>
    <col min="6" max="6" width="5.28515625" bestFit="1" customWidth="1"/>
    <col min="7" max="7" width="7.42578125" bestFit="1" customWidth="1"/>
    <col min="8" max="8" width="7.28515625" bestFit="1" customWidth="1"/>
    <col min="9" max="9" width="5.7109375" bestFit="1" customWidth="1"/>
    <col min="10" max="14" width="5.7109375" customWidth="1"/>
    <col min="15" max="15" width="5.7109375" bestFit="1" customWidth="1"/>
    <col min="16" max="22" width="5.7109375" customWidth="1"/>
  </cols>
  <sheetData>
    <row r="1" spans="1:25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106</v>
      </c>
      <c r="G1" s="3" t="s">
        <v>7</v>
      </c>
      <c r="H1" s="3" t="s">
        <v>39</v>
      </c>
      <c r="I1" s="3" t="s">
        <v>41</v>
      </c>
      <c r="J1" s="3" t="s">
        <v>109</v>
      </c>
      <c r="K1" s="3" t="s">
        <v>169</v>
      </c>
      <c r="L1" s="3" t="s">
        <v>167</v>
      </c>
      <c r="M1" s="3" t="s">
        <v>168</v>
      </c>
      <c r="N1" s="3" t="s">
        <v>215</v>
      </c>
      <c r="O1" s="3" t="s">
        <v>165</v>
      </c>
      <c r="P1" s="3" t="s">
        <v>166</v>
      </c>
      <c r="Q1" s="3" t="s">
        <v>207</v>
      </c>
      <c r="R1" s="3" t="s">
        <v>270</v>
      </c>
      <c r="S1" s="3" t="s">
        <v>271</v>
      </c>
      <c r="T1" s="3" t="s">
        <v>272</v>
      </c>
      <c r="U1" s="3" t="s">
        <v>273</v>
      </c>
      <c r="V1" s="3" t="s">
        <v>281</v>
      </c>
      <c r="W1" s="3" t="s">
        <v>52</v>
      </c>
    </row>
    <row r="2" spans="1:25" x14ac:dyDescent="0.25">
      <c r="A2" s="1" t="s">
        <v>0</v>
      </c>
      <c r="B2" s="1">
        <v>6</v>
      </c>
      <c r="C2" s="1">
        <v>0</v>
      </c>
      <c r="D2" s="1">
        <v>1</v>
      </c>
      <c r="E2" s="1">
        <v>0</v>
      </c>
      <c r="F2" s="1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>
        <v>0</v>
      </c>
      <c r="P2" s="1"/>
      <c r="Q2" s="1"/>
      <c r="R2" s="1">
        <v>0</v>
      </c>
      <c r="S2" s="1">
        <v>0</v>
      </c>
      <c r="T2" s="1">
        <v>0</v>
      </c>
      <c r="U2" s="1">
        <v>0</v>
      </c>
      <c r="V2" s="1">
        <v>0</v>
      </c>
      <c r="W2" s="1" t="s">
        <v>53</v>
      </c>
      <c r="Y2" t="s">
        <v>127</v>
      </c>
    </row>
    <row r="3" spans="1:25" x14ac:dyDescent="0.25">
      <c r="A3" s="1" t="s">
        <v>5</v>
      </c>
      <c r="B3" s="1">
        <v>0</v>
      </c>
      <c r="C3" s="1">
        <v>5</v>
      </c>
      <c r="D3" s="1">
        <v>1</v>
      </c>
      <c r="E3" s="1">
        <v>0</v>
      </c>
      <c r="F3" s="1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>
        <v>0</v>
      </c>
      <c r="P3" s="1"/>
      <c r="Q3" s="1"/>
      <c r="R3" s="1">
        <v>0</v>
      </c>
      <c r="S3" s="1">
        <v>0</v>
      </c>
      <c r="T3" s="1">
        <v>0</v>
      </c>
      <c r="U3" s="1">
        <v>0</v>
      </c>
      <c r="V3" s="1">
        <v>0</v>
      </c>
      <c r="W3" s="1" t="s">
        <v>54</v>
      </c>
      <c r="Y3" t="s">
        <v>127</v>
      </c>
    </row>
    <row r="4" spans="1:25" x14ac:dyDescent="0.25">
      <c r="A4" s="1" t="s">
        <v>8</v>
      </c>
      <c r="B4" s="1">
        <v>0</v>
      </c>
      <c r="C4" s="1">
        <v>0</v>
      </c>
      <c r="D4" s="1">
        <v>0</v>
      </c>
      <c r="E4" s="1">
        <v>2</v>
      </c>
      <c r="F4" s="1">
        <v>0</v>
      </c>
      <c r="G4" s="1" t="b">
        <v>1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>
        <v>0</v>
      </c>
      <c r="P4" s="1"/>
      <c r="Q4" s="1"/>
      <c r="R4" s="1">
        <v>0</v>
      </c>
      <c r="S4" s="1">
        <v>0</v>
      </c>
      <c r="T4" s="1">
        <v>0</v>
      </c>
      <c r="U4" s="1">
        <v>0</v>
      </c>
      <c r="V4" s="1">
        <v>0</v>
      </c>
      <c r="W4" s="1" t="s">
        <v>54</v>
      </c>
      <c r="Y4" t="s">
        <v>127</v>
      </c>
    </row>
    <row r="5" spans="1:25" x14ac:dyDescent="0.25">
      <c r="A5" s="1" t="s">
        <v>61</v>
      </c>
      <c r="B5" s="1">
        <v>4</v>
      </c>
      <c r="C5" s="1">
        <v>0</v>
      </c>
      <c r="D5" s="1">
        <v>0</v>
      </c>
      <c r="E5" s="1">
        <v>0</v>
      </c>
      <c r="F5" s="1">
        <v>0</v>
      </c>
      <c r="G5" s="1" t="b">
        <v>1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>
        <v>0</v>
      </c>
      <c r="P5" s="1"/>
      <c r="Q5" s="1"/>
      <c r="R5" s="1">
        <v>0</v>
      </c>
      <c r="S5" s="1">
        <v>0</v>
      </c>
      <c r="T5" s="1">
        <v>0</v>
      </c>
      <c r="U5" s="1">
        <v>0</v>
      </c>
      <c r="V5" s="1">
        <v>0</v>
      </c>
      <c r="W5" s="1" t="s">
        <v>53</v>
      </c>
      <c r="Y5" t="s">
        <v>128</v>
      </c>
    </row>
    <row r="6" spans="1:25" x14ac:dyDescent="0.25">
      <c r="A6" s="1" t="s">
        <v>107</v>
      </c>
      <c r="B6" s="1">
        <v>4</v>
      </c>
      <c r="C6" s="1">
        <v>4</v>
      </c>
      <c r="D6" s="1">
        <v>1</v>
      </c>
      <c r="E6" s="1">
        <v>0</v>
      </c>
      <c r="F6" s="1">
        <v>1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>
        <v>0</v>
      </c>
      <c r="P6" s="1"/>
      <c r="Q6" s="1"/>
      <c r="R6" s="1">
        <v>0</v>
      </c>
      <c r="S6" s="1">
        <v>0</v>
      </c>
      <c r="T6" s="1">
        <v>0</v>
      </c>
      <c r="U6" s="1">
        <v>0</v>
      </c>
      <c r="V6" s="1">
        <v>0</v>
      </c>
      <c r="W6" s="1" t="s">
        <v>53</v>
      </c>
      <c r="Y6" t="s">
        <v>129</v>
      </c>
    </row>
    <row r="7" spans="1:25" x14ac:dyDescent="0.25">
      <c r="A7" s="1" t="s">
        <v>31</v>
      </c>
      <c r="B7" s="1">
        <v>20</v>
      </c>
      <c r="C7" s="1">
        <v>0</v>
      </c>
      <c r="D7" s="1">
        <v>2</v>
      </c>
      <c r="E7" s="1">
        <v>0</v>
      </c>
      <c r="F7" s="1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>
        <v>0</v>
      </c>
      <c r="P7" s="1"/>
      <c r="Q7" s="1"/>
      <c r="R7" s="1">
        <v>0</v>
      </c>
      <c r="S7" s="1">
        <v>0</v>
      </c>
      <c r="T7" s="1">
        <v>0</v>
      </c>
      <c r="U7" s="1">
        <v>0</v>
      </c>
      <c r="V7" s="1">
        <v>0</v>
      </c>
      <c r="W7" s="1" t="s">
        <v>53</v>
      </c>
      <c r="Y7" t="s">
        <v>130</v>
      </c>
    </row>
    <row r="8" spans="1:25" x14ac:dyDescent="0.25">
      <c r="A8" s="1" t="s">
        <v>32</v>
      </c>
      <c r="B8" s="1">
        <v>5</v>
      </c>
      <c r="C8" s="1">
        <v>0</v>
      </c>
      <c r="D8" s="1">
        <v>1</v>
      </c>
      <c r="E8" s="1">
        <v>1</v>
      </c>
      <c r="F8" s="1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>
        <v>0</v>
      </c>
      <c r="P8" s="1"/>
      <c r="Q8" s="1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 t="s">
        <v>53</v>
      </c>
      <c r="Y8" t="s">
        <v>131</v>
      </c>
    </row>
    <row r="9" spans="1:25" x14ac:dyDescent="0.25">
      <c r="A9" s="1" t="s">
        <v>64</v>
      </c>
      <c r="B9" s="1">
        <v>0</v>
      </c>
      <c r="C9" s="1">
        <v>10</v>
      </c>
      <c r="D9" s="1">
        <v>1</v>
      </c>
      <c r="E9" s="1">
        <v>0</v>
      </c>
      <c r="F9" s="1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>
        <v>0</v>
      </c>
      <c r="P9" s="1"/>
      <c r="Q9" s="1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 t="s">
        <v>54</v>
      </c>
      <c r="Y9" t="s">
        <v>132</v>
      </c>
    </row>
    <row r="10" spans="1:25" x14ac:dyDescent="0.25">
      <c r="A10" s="1" t="s">
        <v>65</v>
      </c>
      <c r="B10" s="4">
        <v>10</v>
      </c>
      <c r="C10" s="1">
        <v>0</v>
      </c>
      <c r="D10" s="1">
        <v>1</v>
      </c>
      <c r="E10" s="1">
        <v>0</v>
      </c>
      <c r="F10" s="1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>
        <v>0</v>
      </c>
      <c r="P10" s="1"/>
      <c r="Q10" s="1"/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 t="s">
        <v>53</v>
      </c>
      <c r="Y10" t="s">
        <v>133</v>
      </c>
    </row>
    <row r="11" spans="1:25" x14ac:dyDescent="0.25">
      <c r="A11" s="1" t="s">
        <v>66</v>
      </c>
      <c r="B11" s="1">
        <v>6</v>
      </c>
      <c r="C11" s="1">
        <v>6</v>
      </c>
      <c r="D11" s="1">
        <v>1</v>
      </c>
      <c r="E11" s="1">
        <v>0</v>
      </c>
      <c r="F11" s="1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>
        <v>0</v>
      </c>
      <c r="P11" s="1"/>
      <c r="Q11" s="1"/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 t="s">
        <v>53</v>
      </c>
      <c r="Y11" t="s">
        <v>134</v>
      </c>
    </row>
    <row r="12" spans="1:25" x14ac:dyDescent="0.25">
      <c r="A12" s="1" t="s">
        <v>67</v>
      </c>
      <c r="B12" s="1">
        <v>0</v>
      </c>
      <c r="C12" s="1">
        <v>0</v>
      </c>
      <c r="D12" s="1">
        <v>3</v>
      </c>
      <c r="E12" s="1">
        <v>25</v>
      </c>
      <c r="F12" s="1">
        <v>0</v>
      </c>
      <c r="G12" s="1" t="b">
        <v>1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>
        <v>0</v>
      </c>
      <c r="P12" s="1"/>
      <c r="Q12" s="1"/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 t="s">
        <v>54</v>
      </c>
      <c r="Y12" t="s">
        <v>86</v>
      </c>
    </row>
    <row r="13" spans="1:25" x14ac:dyDescent="0.25">
      <c r="A13" s="1" t="s">
        <v>286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 t="b">
        <v>1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>
        <v>0</v>
      </c>
      <c r="P13" s="1"/>
      <c r="Q13" s="1"/>
      <c r="R13" s="1">
        <v>0</v>
      </c>
      <c r="S13" s="1">
        <v>0</v>
      </c>
      <c r="T13" s="1">
        <v>0</v>
      </c>
      <c r="U13" s="1">
        <v>0</v>
      </c>
      <c r="V13" s="1">
        <v>2</v>
      </c>
      <c r="W13" s="1" t="s">
        <v>54</v>
      </c>
      <c r="Y13" t="s">
        <v>330</v>
      </c>
    </row>
    <row r="14" spans="1:25" x14ac:dyDescent="0.25">
      <c r="A14" s="1" t="s">
        <v>43</v>
      </c>
      <c r="B14" s="1">
        <v>4</v>
      </c>
      <c r="C14" s="1">
        <v>10</v>
      </c>
      <c r="D14" s="1">
        <v>3</v>
      </c>
      <c r="E14" s="1">
        <v>0</v>
      </c>
      <c r="F14" s="1">
        <v>0</v>
      </c>
      <c r="G14" s="1" t="b">
        <v>1</v>
      </c>
      <c r="H14" s="1" t="b">
        <v>0</v>
      </c>
      <c r="I14" s="1" t="b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>
        <v>0</v>
      </c>
      <c r="P14" s="1"/>
      <c r="Q14" s="1" t="s">
        <v>74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 t="s">
        <v>41</v>
      </c>
      <c r="Y14" t="s">
        <v>135</v>
      </c>
    </row>
    <row r="15" spans="1:25" x14ac:dyDescent="0.25">
      <c r="A15" s="1" t="s">
        <v>40</v>
      </c>
      <c r="B15" s="1">
        <v>5</v>
      </c>
      <c r="C15" s="1">
        <v>0</v>
      </c>
      <c r="D15" s="1">
        <v>0</v>
      </c>
      <c r="E15" s="1">
        <v>0</v>
      </c>
      <c r="F15" s="1">
        <v>0</v>
      </c>
      <c r="G15" s="1" t="b">
        <v>0</v>
      </c>
      <c r="H15" s="1" t="b">
        <v>1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>
        <v>0</v>
      </c>
      <c r="P15" s="1"/>
      <c r="Q15" s="1"/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 t="s">
        <v>53</v>
      </c>
      <c r="Y15" t="s">
        <v>136</v>
      </c>
    </row>
    <row r="16" spans="1:25" x14ac:dyDescent="0.25">
      <c r="A16" s="1" t="s">
        <v>105</v>
      </c>
      <c r="B16" s="1">
        <v>0</v>
      </c>
      <c r="C16" s="1">
        <v>7</v>
      </c>
      <c r="D16" s="1">
        <v>1</v>
      </c>
      <c r="E16" s="1">
        <v>0</v>
      </c>
      <c r="F16" s="1">
        <v>1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>
        <v>0</v>
      </c>
      <c r="P16" s="1"/>
      <c r="Q16" s="1"/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 t="s">
        <v>54</v>
      </c>
      <c r="Y16" t="s">
        <v>112</v>
      </c>
    </row>
    <row r="17" spans="1:25" x14ac:dyDescent="0.25">
      <c r="A17" s="1" t="s">
        <v>42</v>
      </c>
      <c r="B17" s="1">
        <v>15</v>
      </c>
      <c r="C17" s="1">
        <v>0</v>
      </c>
      <c r="D17" s="1">
        <v>2</v>
      </c>
      <c r="E17" s="1">
        <v>0</v>
      </c>
      <c r="F17" s="1">
        <v>0</v>
      </c>
      <c r="G17" s="1" t="b">
        <v>1</v>
      </c>
      <c r="H17" s="1" t="b">
        <v>0</v>
      </c>
      <c r="I17" s="1" t="b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>
        <v>0</v>
      </c>
      <c r="P17" s="1"/>
      <c r="Q17" s="1"/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 t="s">
        <v>41</v>
      </c>
      <c r="Y17" t="s">
        <v>137</v>
      </c>
    </row>
    <row r="18" spans="1:25" x14ac:dyDescent="0.25">
      <c r="A18" s="1" t="s">
        <v>200</v>
      </c>
      <c r="B18" s="1">
        <v>10</v>
      </c>
      <c r="C18" s="1">
        <v>0</v>
      </c>
      <c r="D18" s="1">
        <v>1</v>
      </c>
      <c r="E18" s="1">
        <v>3</v>
      </c>
      <c r="F18" s="1">
        <v>0</v>
      </c>
      <c r="G18" s="1" t="b">
        <v>0</v>
      </c>
      <c r="H18" s="1" t="b">
        <v>1</v>
      </c>
      <c r="I18" s="1" t="b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>
        <v>0</v>
      </c>
      <c r="P18" s="1"/>
      <c r="Q18" s="1"/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 t="s">
        <v>41</v>
      </c>
      <c r="Y18" t="s">
        <v>103</v>
      </c>
    </row>
    <row r="19" spans="1:25" x14ac:dyDescent="0.25">
      <c r="A19" s="1" t="s">
        <v>89</v>
      </c>
      <c r="B19" s="1">
        <v>0</v>
      </c>
      <c r="C19" s="1">
        <v>15</v>
      </c>
      <c r="D19" s="1">
        <v>1</v>
      </c>
      <c r="E19" s="1">
        <v>3</v>
      </c>
      <c r="F19" s="1">
        <v>0</v>
      </c>
      <c r="G19" s="1" t="b">
        <v>1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>
        <v>0</v>
      </c>
      <c r="P19" s="1"/>
      <c r="Q19" s="1"/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 t="s">
        <v>54</v>
      </c>
      <c r="Y19" t="s">
        <v>339</v>
      </c>
    </row>
    <row r="20" spans="1:25" x14ac:dyDescent="0.25">
      <c r="A20" s="1" t="s">
        <v>90</v>
      </c>
      <c r="B20" s="1">
        <v>15</v>
      </c>
      <c r="C20" s="1">
        <v>0</v>
      </c>
      <c r="D20" s="1">
        <v>1</v>
      </c>
      <c r="E20" s="1">
        <v>3</v>
      </c>
      <c r="F20" s="1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>
        <v>0</v>
      </c>
      <c r="P20" s="1"/>
      <c r="Q20" s="1"/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 t="s">
        <v>53</v>
      </c>
      <c r="Y20" t="s">
        <v>340</v>
      </c>
    </row>
    <row r="21" spans="1:25" x14ac:dyDescent="0.25">
      <c r="A21" s="1" t="s">
        <v>327</v>
      </c>
      <c r="B21" s="1">
        <v>6</v>
      </c>
      <c r="C21" s="1">
        <v>6</v>
      </c>
      <c r="D21" s="1">
        <v>3</v>
      </c>
      <c r="E21" s="1">
        <v>6</v>
      </c>
      <c r="F21" s="1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0</v>
      </c>
      <c r="O21" s="1">
        <v>1</v>
      </c>
      <c r="P21" s="1" t="s">
        <v>327</v>
      </c>
      <c r="Q21" s="1"/>
      <c r="R21" s="1">
        <v>0</v>
      </c>
      <c r="S21" s="1">
        <v>0</v>
      </c>
      <c r="T21" s="1">
        <v>-2</v>
      </c>
      <c r="U21" s="1">
        <v>0</v>
      </c>
      <c r="V21" s="1">
        <v>0</v>
      </c>
      <c r="W21" s="1" t="s">
        <v>41</v>
      </c>
      <c r="Y21" t="s">
        <v>328</v>
      </c>
    </row>
    <row r="22" spans="1:25" x14ac:dyDescent="0.25">
      <c r="A22" s="1" t="s">
        <v>88</v>
      </c>
      <c r="B22" s="1">
        <v>8</v>
      </c>
      <c r="C22" s="1">
        <v>0</v>
      </c>
      <c r="D22" s="1">
        <v>1</v>
      </c>
      <c r="E22" s="1">
        <v>0</v>
      </c>
      <c r="F22" s="1">
        <v>0</v>
      </c>
      <c r="G22" s="1" t="b">
        <v>0</v>
      </c>
      <c r="H22" s="1" t="b">
        <v>1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>
        <v>0</v>
      </c>
      <c r="P22" s="1"/>
      <c r="Q22" s="1"/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 t="s">
        <v>53</v>
      </c>
      <c r="Y22" t="s">
        <v>125</v>
      </c>
    </row>
    <row r="23" spans="1:25" x14ac:dyDescent="0.25">
      <c r="A23" s="1" t="s">
        <v>111</v>
      </c>
      <c r="B23" s="1">
        <v>0</v>
      </c>
      <c r="C23" s="1">
        <v>4</v>
      </c>
      <c r="D23" s="1">
        <v>2</v>
      </c>
      <c r="E23" s="1">
        <v>0</v>
      </c>
      <c r="F23" s="1">
        <v>0</v>
      </c>
      <c r="G23" s="1" t="b">
        <v>0</v>
      </c>
      <c r="H23" s="1" t="b">
        <v>0</v>
      </c>
      <c r="I23" s="1" t="b">
        <v>0</v>
      </c>
      <c r="J23" s="1" t="b">
        <v>1</v>
      </c>
      <c r="K23" s="1" t="b">
        <v>0</v>
      </c>
      <c r="L23" s="1" t="b">
        <v>0</v>
      </c>
      <c r="M23" s="1" t="b">
        <v>0</v>
      </c>
      <c r="N23" s="1" t="b">
        <v>0</v>
      </c>
      <c r="O23" s="1">
        <v>0</v>
      </c>
      <c r="P23" s="1"/>
      <c r="Q23" s="1"/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 t="s">
        <v>53</v>
      </c>
      <c r="Y23" t="s">
        <v>124</v>
      </c>
    </row>
    <row r="24" spans="1:25" x14ac:dyDescent="0.25">
      <c r="A24" s="1" t="s">
        <v>91</v>
      </c>
      <c r="B24" s="1">
        <v>0</v>
      </c>
      <c r="C24" s="1">
        <v>10</v>
      </c>
      <c r="D24" s="1">
        <v>1</v>
      </c>
      <c r="E24" s="1">
        <v>0</v>
      </c>
      <c r="F24" s="1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>
        <v>0</v>
      </c>
      <c r="P24" s="1"/>
      <c r="Q24" s="1"/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 t="s">
        <v>54</v>
      </c>
      <c r="Y24" t="s">
        <v>126</v>
      </c>
    </row>
    <row r="25" spans="1:25" x14ac:dyDescent="0.25">
      <c r="A25" s="1" t="s">
        <v>92</v>
      </c>
      <c r="B25" s="1">
        <v>12</v>
      </c>
      <c r="C25" s="1">
        <v>0</v>
      </c>
      <c r="D25" s="1">
        <v>1</v>
      </c>
      <c r="E25" s="1">
        <v>6</v>
      </c>
      <c r="F25" s="1">
        <v>0</v>
      </c>
      <c r="G25" s="1" t="b">
        <v>1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>
        <v>0</v>
      </c>
      <c r="P25" s="1"/>
      <c r="Q25" s="1"/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 t="s">
        <v>53</v>
      </c>
      <c r="Y25" t="s">
        <v>138</v>
      </c>
    </row>
    <row r="26" spans="1:25" x14ac:dyDescent="0.25">
      <c r="A26" s="1" t="s">
        <v>93</v>
      </c>
      <c r="B26" s="1">
        <v>12</v>
      </c>
      <c r="C26" s="1">
        <v>12</v>
      </c>
      <c r="D26" s="1">
        <v>1</v>
      </c>
      <c r="E26" s="1">
        <v>0</v>
      </c>
      <c r="F26" s="1">
        <v>0</v>
      </c>
      <c r="G26" s="1" t="b">
        <v>1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>
        <v>0</v>
      </c>
      <c r="P26" s="1"/>
      <c r="Q26" s="1"/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 t="s">
        <v>53</v>
      </c>
      <c r="Y26" t="s">
        <v>139</v>
      </c>
    </row>
    <row r="27" spans="1:25" x14ac:dyDescent="0.25">
      <c r="A27" s="1" t="s">
        <v>94</v>
      </c>
      <c r="B27" s="1">
        <v>0</v>
      </c>
      <c r="C27" s="1">
        <v>12</v>
      </c>
      <c r="D27" s="1">
        <v>1</v>
      </c>
      <c r="E27" s="1">
        <v>6</v>
      </c>
      <c r="F27" s="1">
        <v>0</v>
      </c>
      <c r="G27" s="1" t="b">
        <v>1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>
        <v>0</v>
      </c>
      <c r="P27" s="1"/>
      <c r="Q27" s="1"/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 t="s">
        <v>54</v>
      </c>
      <c r="Y27" t="s">
        <v>140</v>
      </c>
    </row>
    <row r="28" spans="1:25" x14ac:dyDescent="0.25">
      <c r="A28" s="1" t="s">
        <v>95</v>
      </c>
      <c r="B28" s="1">
        <v>12</v>
      </c>
      <c r="C28" s="1">
        <v>12</v>
      </c>
      <c r="D28" s="1">
        <v>1</v>
      </c>
      <c r="E28" s="1">
        <v>6</v>
      </c>
      <c r="F28" s="1">
        <v>0</v>
      </c>
      <c r="G28" s="1" t="b">
        <v>1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>
        <v>0</v>
      </c>
      <c r="P28" s="1"/>
      <c r="Q28" s="1"/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 t="s">
        <v>53</v>
      </c>
      <c r="Y28" t="s">
        <v>104</v>
      </c>
    </row>
    <row r="29" spans="1:25" x14ac:dyDescent="0.25">
      <c r="A29" s="1" t="s">
        <v>318</v>
      </c>
      <c r="B29" s="1">
        <v>10</v>
      </c>
      <c r="C29" s="1">
        <v>10</v>
      </c>
      <c r="D29" s="1">
        <v>0</v>
      </c>
      <c r="E29" s="1">
        <v>0</v>
      </c>
      <c r="F29" s="1">
        <v>0</v>
      </c>
      <c r="G29" s="1" t="b">
        <v>0</v>
      </c>
      <c r="H29" s="1" t="b">
        <v>0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0</v>
      </c>
      <c r="O29" s="1">
        <v>0</v>
      </c>
      <c r="P29" s="1"/>
      <c r="Q29" s="1"/>
      <c r="R29" s="1">
        <v>0</v>
      </c>
      <c r="S29" s="1">
        <v>0</v>
      </c>
      <c r="T29" s="1">
        <v>-1</v>
      </c>
      <c r="U29" s="1">
        <v>-2</v>
      </c>
      <c r="V29" s="1">
        <v>0</v>
      </c>
      <c r="W29" s="1" t="s">
        <v>53</v>
      </c>
      <c r="Y29" t="s">
        <v>137</v>
      </c>
    </row>
    <row r="30" spans="1:25" x14ac:dyDescent="0.25">
      <c r="A30" s="1" t="s">
        <v>319</v>
      </c>
      <c r="B30" s="1">
        <v>5</v>
      </c>
      <c r="C30" s="1">
        <v>0</v>
      </c>
      <c r="D30" s="1">
        <v>1</v>
      </c>
      <c r="E30" s="1">
        <v>0</v>
      </c>
      <c r="F30" s="1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>
        <v>0</v>
      </c>
      <c r="P30" s="1"/>
      <c r="Q30" s="1"/>
      <c r="R30" s="1">
        <v>0</v>
      </c>
      <c r="S30" s="1">
        <v>-5</v>
      </c>
      <c r="T30" s="1">
        <v>0</v>
      </c>
      <c r="U30" s="1">
        <v>0</v>
      </c>
      <c r="V30" s="1">
        <v>0</v>
      </c>
      <c r="W30" s="1" t="s">
        <v>53</v>
      </c>
      <c r="Y30" t="s">
        <v>323</v>
      </c>
    </row>
    <row r="31" spans="1:25" x14ac:dyDescent="0.25">
      <c r="A31" s="1" t="s">
        <v>320</v>
      </c>
      <c r="B31" s="1">
        <v>0</v>
      </c>
      <c r="C31" s="1">
        <v>15</v>
      </c>
      <c r="D31" s="1">
        <v>2</v>
      </c>
      <c r="E31" s="1">
        <v>0</v>
      </c>
      <c r="F31" s="1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0</v>
      </c>
      <c r="O31" s="1">
        <v>0</v>
      </c>
      <c r="P31" s="1"/>
      <c r="Q31" s="1"/>
      <c r="R31" s="1">
        <v>15</v>
      </c>
      <c r="S31" s="1">
        <v>0</v>
      </c>
      <c r="T31" s="1">
        <v>0</v>
      </c>
      <c r="U31" s="1">
        <v>0</v>
      </c>
      <c r="V31" s="1">
        <v>0</v>
      </c>
      <c r="W31" s="1" t="s">
        <v>54</v>
      </c>
      <c r="Y31" t="s">
        <v>331</v>
      </c>
    </row>
    <row r="32" spans="1:25" x14ac:dyDescent="0.25">
      <c r="A32" s="1" t="s">
        <v>321</v>
      </c>
      <c r="B32" s="1">
        <v>0</v>
      </c>
      <c r="C32" s="1">
        <v>0</v>
      </c>
      <c r="D32" s="1">
        <v>0</v>
      </c>
      <c r="E32" s="1">
        <v>0</v>
      </c>
      <c r="F32" s="1">
        <v>1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>
        <v>0</v>
      </c>
      <c r="P32" s="1"/>
      <c r="Q32" s="1"/>
      <c r="R32" s="1">
        <v>0</v>
      </c>
      <c r="S32" s="1">
        <v>0</v>
      </c>
      <c r="T32" s="1">
        <v>2</v>
      </c>
      <c r="U32" s="1">
        <v>1</v>
      </c>
      <c r="V32" s="1">
        <v>1</v>
      </c>
      <c r="W32" s="1" t="s">
        <v>54</v>
      </c>
      <c r="Y32" t="s">
        <v>332</v>
      </c>
    </row>
    <row r="33" spans="1:25" x14ac:dyDescent="0.25">
      <c r="A33" s="1" t="s">
        <v>322</v>
      </c>
      <c r="B33" s="1">
        <v>25</v>
      </c>
      <c r="C33" s="1">
        <v>0</v>
      </c>
      <c r="D33" s="1">
        <v>2</v>
      </c>
      <c r="E33" s="1">
        <v>0</v>
      </c>
      <c r="F33" s="1">
        <v>0</v>
      </c>
      <c r="G33" s="1" t="b">
        <v>1</v>
      </c>
      <c r="H33" s="1" t="b">
        <v>0</v>
      </c>
      <c r="I33" s="1" t="b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>
        <v>0</v>
      </c>
      <c r="P33" s="1"/>
      <c r="Q33" s="1"/>
      <c r="R33" s="1">
        <v>0</v>
      </c>
      <c r="S33" s="1">
        <v>0</v>
      </c>
      <c r="T33" s="1">
        <v>-2</v>
      </c>
      <c r="U33" s="1">
        <v>-2</v>
      </c>
      <c r="V33" s="1">
        <v>0</v>
      </c>
      <c r="W33" s="1" t="s">
        <v>41</v>
      </c>
      <c r="Y33" t="s">
        <v>333</v>
      </c>
    </row>
    <row r="34" spans="1:25" x14ac:dyDescent="0.25">
      <c r="A34" s="1" t="s">
        <v>122</v>
      </c>
      <c r="B34" s="1">
        <v>12</v>
      </c>
      <c r="C34" s="1">
        <v>0</v>
      </c>
      <c r="D34" s="1">
        <v>1</v>
      </c>
      <c r="E34" s="1">
        <v>0</v>
      </c>
      <c r="F34" s="1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>
        <v>0</v>
      </c>
      <c r="P34" s="1"/>
      <c r="Q34" s="1"/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 t="s">
        <v>53</v>
      </c>
      <c r="Y34" t="s">
        <v>141</v>
      </c>
    </row>
    <row r="35" spans="1:25" x14ac:dyDescent="0.25">
      <c r="A35" s="1" t="s">
        <v>123</v>
      </c>
      <c r="B35" s="1">
        <v>0</v>
      </c>
      <c r="C35" s="1">
        <v>12</v>
      </c>
      <c r="D35" s="1">
        <v>1</v>
      </c>
      <c r="E35" s="1">
        <v>0</v>
      </c>
      <c r="F35" s="1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>
        <v>0</v>
      </c>
      <c r="P35" s="1"/>
      <c r="Q35" s="1"/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 t="s">
        <v>54</v>
      </c>
      <c r="Y35" t="s">
        <v>142</v>
      </c>
    </row>
    <row r="36" spans="1:25" x14ac:dyDescent="0.25">
      <c r="A36" s="1" t="s">
        <v>6</v>
      </c>
      <c r="B36" s="1">
        <v>0</v>
      </c>
      <c r="C36" s="1">
        <v>0</v>
      </c>
      <c r="D36" s="1">
        <v>1</v>
      </c>
      <c r="E36" s="1">
        <v>6</v>
      </c>
      <c r="F36" s="1">
        <v>0</v>
      </c>
      <c r="G36" s="1" t="b">
        <v>1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>
        <v>0</v>
      </c>
      <c r="P36" s="1"/>
      <c r="Q36" s="1"/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 t="s">
        <v>54</v>
      </c>
      <c r="Y36" t="s">
        <v>143</v>
      </c>
    </row>
    <row r="37" spans="1:25" x14ac:dyDescent="0.25">
      <c r="A37" s="1" t="s">
        <v>161</v>
      </c>
      <c r="B37" s="1">
        <v>6</v>
      </c>
      <c r="C37" s="1">
        <v>0</v>
      </c>
      <c r="D37" s="1">
        <v>1</v>
      </c>
      <c r="E37" s="1">
        <v>0</v>
      </c>
      <c r="F37" s="1">
        <v>0</v>
      </c>
      <c r="G37" s="1" t="b">
        <v>0</v>
      </c>
      <c r="H37" s="1" t="b">
        <v>1</v>
      </c>
      <c r="I37" s="1" t="b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0</v>
      </c>
      <c r="O37" s="1">
        <v>0</v>
      </c>
      <c r="P37" s="1"/>
      <c r="Q37" s="1"/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 t="s">
        <v>41</v>
      </c>
      <c r="Y37" t="s">
        <v>173</v>
      </c>
    </row>
    <row r="38" spans="1:25" x14ac:dyDescent="0.25">
      <c r="A38" s="1" t="s">
        <v>316</v>
      </c>
      <c r="B38" s="1">
        <v>5</v>
      </c>
      <c r="C38" s="1">
        <v>0</v>
      </c>
      <c r="D38" s="1">
        <v>1</v>
      </c>
      <c r="E38" s="1">
        <v>0</v>
      </c>
      <c r="F38" s="1">
        <v>0</v>
      </c>
      <c r="G38" s="1" t="b">
        <v>0</v>
      </c>
      <c r="H38" s="1" t="b">
        <v>0</v>
      </c>
      <c r="I38" s="1" t="b">
        <v>0</v>
      </c>
      <c r="J38" s="1" t="b">
        <v>0</v>
      </c>
      <c r="K38" s="1" t="b">
        <v>0</v>
      </c>
      <c r="L38" s="1" t="b">
        <v>1</v>
      </c>
      <c r="M38" s="1" t="b">
        <v>1</v>
      </c>
      <c r="N38" s="1" t="b">
        <v>0</v>
      </c>
      <c r="O38" s="1">
        <v>0</v>
      </c>
      <c r="P38" s="1"/>
      <c r="Q38" s="1"/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 t="s">
        <v>53</v>
      </c>
      <c r="Y38" t="s">
        <v>178</v>
      </c>
    </row>
    <row r="39" spans="1:25" x14ac:dyDescent="0.25">
      <c r="A39" s="1" t="s">
        <v>170</v>
      </c>
      <c r="B39" s="1">
        <v>5</v>
      </c>
      <c r="C39" s="1">
        <v>0</v>
      </c>
      <c r="D39" s="1">
        <v>0</v>
      </c>
      <c r="E39" s="1">
        <v>0</v>
      </c>
      <c r="F39" s="1">
        <v>1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>
        <v>3</v>
      </c>
      <c r="P39" s="1" t="s">
        <v>170</v>
      </c>
      <c r="Q39" s="1"/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 t="s">
        <v>172</v>
      </c>
      <c r="Y39" t="s">
        <v>174</v>
      </c>
    </row>
    <row r="40" spans="1:25" x14ac:dyDescent="0.25">
      <c r="A40" s="1" t="s">
        <v>171</v>
      </c>
      <c r="B40" s="1">
        <v>0</v>
      </c>
      <c r="C40" s="1">
        <v>0</v>
      </c>
      <c r="D40" s="1">
        <v>1</v>
      </c>
      <c r="E40" s="1">
        <v>5</v>
      </c>
      <c r="F40" s="1">
        <v>1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>
        <v>0</v>
      </c>
      <c r="P40" s="1"/>
      <c r="Q40" s="1"/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 t="s">
        <v>54</v>
      </c>
      <c r="Y40" t="s">
        <v>175</v>
      </c>
    </row>
    <row r="41" spans="1:25" x14ac:dyDescent="0.25">
      <c r="A41" s="1" t="s">
        <v>302</v>
      </c>
      <c r="B41" s="1">
        <v>10</v>
      </c>
      <c r="C41" s="1">
        <v>0</v>
      </c>
      <c r="D41" s="1">
        <v>1</v>
      </c>
      <c r="E41" s="1">
        <v>0</v>
      </c>
      <c r="F41" s="1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>
        <v>0</v>
      </c>
      <c r="P41" s="1"/>
      <c r="Q41" s="1"/>
      <c r="R41" s="1">
        <v>0</v>
      </c>
      <c r="S41" s="1">
        <v>0</v>
      </c>
      <c r="T41" s="1">
        <v>-2</v>
      </c>
      <c r="U41" s="1">
        <v>0</v>
      </c>
      <c r="V41" s="1">
        <v>0</v>
      </c>
      <c r="W41" s="1" t="s">
        <v>53</v>
      </c>
    </row>
    <row r="42" spans="1:25" x14ac:dyDescent="0.25">
      <c r="A42" s="1" t="s">
        <v>314</v>
      </c>
      <c r="B42" s="1">
        <v>12</v>
      </c>
      <c r="C42" s="1">
        <v>0</v>
      </c>
      <c r="D42" s="1">
        <v>1</v>
      </c>
      <c r="E42" s="1">
        <v>0</v>
      </c>
      <c r="F42" s="1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0</v>
      </c>
      <c r="O42" s="1">
        <v>0</v>
      </c>
      <c r="P42" s="1"/>
      <c r="Q42" s="1"/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 t="s">
        <v>53</v>
      </c>
    </row>
    <row r="43" spans="1:25" x14ac:dyDescent="0.25">
      <c r="A43" s="1" t="s">
        <v>303</v>
      </c>
      <c r="B43" s="1">
        <v>6</v>
      </c>
      <c r="C43" s="1">
        <v>0</v>
      </c>
      <c r="D43" s="1">
        <v>1</v>
      </c>
      <c r="E43" s="1">
        <v>0</v>
      </c>
      <c r="F43" s="1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>
        <v>0</v>
      </c>
      <c r="P43" s="1"/>
      <c r="Q43" s="1"/>
      <c r="R43" s="1">
        <v>0</v>
      </c>
      <c r="S43" s="1">
        <v>0</v>
      </c>
      <c r="T43" s="1">
        <v>0</v>
      </c>
      <c r="U43" s="1">
        <v>-1</v>
      </c>
      <c r="V43" s="1">
        <v>0</v>
      </c>
      <c r="W43" s="1" t="s">
        <v>53</v>
      </c>
    </row>
    <row r="44" spans="1:25" x14ac:dyDescent="0.25">
      <c r="A44" s="1" t="s">
        <v>309</v>
      </c>
      <c r="B44" s="1">
        <v>8</v>
      </c>
      <c r="C44" s="1">
        <v>0</v>
      </c>
      <c r="D44" s="1">
        <v>1</v>
      </c>
      <c r="E44" s="1">
        <v>0</v>
      </c>
      <c r="F44" s="1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1</v>
      </c>
      <c r="M44" s="1" t="b">
        <v>0</v>
      </c>
      <c r="N44" s="1" t="b">
        <v>0</v>
      </c>
      <c r="O44" s="1">
        <v>0</v>
      </c>
      <c r="P44" s="1"/>
      <c r="Q44" s="1"/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 t="s">
        <v>53</v>
      </c>
    </row>
    <row r="45" spans="1:25" x14ac:dyDescent="0.25">
      <c r="A45" s="1" t="s">
        <v>162</v>
      </c>
      <c r="B45" s="1">
        <v>10</v>
      </c>
      <c r="C45" s="1">
        <v>0</v>
      </c>
      <c r="D45" s="1">
        <v>1</v>
      </c>
      <c r="E45" s="1">
        <v>0</v>
      </c>
      <c r="F45" s="1">
        <v>0</v>
      </c>
      <c r="G45" s="1" t="b">
        <v>1</v>
      </c>
      <c r="H45" s="1" t="b">
        <v>0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0</v>
      </c>
      <c r="O45" s="1">
        <v>1</v>
      </c>
      <c r="P45" s="1" t="s">
        <v>180</v>
      </c>
      <c r="Q45" s="1"/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 t="s">
        <v>172</v>
      </c>
      <c r="Y45" t="s">
        <v>176</v>
      </c>
    </row>
    <row r="46" spans="1:25" x14ac:dyDescent="0.25">
      <c r="A46" s="1" t="s">
        <v>163</v>
      </c>
      <c r="B46" s="1">
        <v>5</v>
      </c>
      <c r="C46" s="1">
        <v>0</v>
      </c>
      <c r="D46" s="1">
        <v>3</v>
      </c>
      <c r="E46" s="1">
        <v>0</v>
      </c>
      <c r="F46" s="1">
        <v>0</v>
      </c>
      <c r="G46" s="1" t="b">
        <v>1</v>
      </c>
      <c r="H46" s="1" t="b">
        <v>1</v>
      </c>
      <c r="I46" s="1" t="b">
        <v>1</v>
      </c>
      <c r="J46" s="1" t="b">
        <v>0</v>
      </c>
      <c r="K46" s="1" t="b">
        <v>1</v>
      </c>
      <c r="L46" s="1" t="b">
        <v>0</v>
      </c>
      <c r="M46" s="1" t="b">
        <v>0</v>
      </c>
      <c r="N46" s="1" t="b">
        <v>0</v>
      </c>
      <c r="O46" s="1">
        <v>0</v>
      </c>
      <c r="P46" s="1"/>
      <c r="Q46" s="1"/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 t="s">
        <v>41</v>
      </c>
      <c r="Y46" t="s">
        <v>177</v>
      </c>
    </row>
    <row r="47" spans="1:25" x14ac:dyDescent="0.25">
      <c r="A47" s="1" t="s">
        <v>180</v>
      </c>
      <c r="B47" s="1">
        <v>15</v>
      </c>
      <c r="C47" s="1">
        <v>0</v>
      </c>
      <c r="D47" s="1">
        <v>1</v>
      </c>
      <c r="E47" s="1">
        <v>0</v>
      </c>
      <c r="F47" s="1">
        <v>0</v>
      </c>
      <c r="G47" s="1" t="b">
        <v>1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>
        <v>1</v>
      </c>
      <c r="P47" s="1" t="s">
        <v>181</v>
      </c>
      <c r="Q47" s="1"/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53</v>
      </c>
      <c r="Y47" t="s">
        <v>176</v>
      </c>
    </row>
    <row r="48" spans="1:25" x14ac:dyDescent="0.25">
      <c r="A48" s="1" t="s">
        <v>181</v>
      </c>
      <c r="B48" s="1">
        <v>15</v>
      </c>
      <c r="C48" s="1">
        <v>0</v>
      </c>
      <c r="D48" s="1">
        <v>1</v>
      </c>
      <c r="E48" s="1">
        <v>0</v>
      </c>
      <c r="F48" s="1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>
        <v>0</v>
      </c>
      <c r="P48" s="1"/>
      <c r="Q48" s="1"/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41</v>
      </c>
      <c r="Y48" t="s">
        <v>179</v>
      </c>
    </row>
    <row r="49" spans="1:25" x14ac:dyDescent="0.25">
      <c r="A49" s="1" t="s">
        <v>87</v>
      </c>
      <c r="B49" s="1">
        <v>10</v>
      </c>
      <c r="C49" s="1">
        <v>0</v>
      </c>
      <c r="D49" s="1">
        <v>1</v>
      </c>
      <c r="E49" s="1">
        <v>0</v>
      </c>
      <c r="F49" s="1">
        <v>0</v>
      </c>
      <c r="G49" s="1" t="b">
        <v>0</v>
      </c>
      <c r="H49" s="1" t="b">
        <v>1</v>
      </c>
      <c r="I49" s="1" t="b">
        <v>1</v>
      </c>
      <c r="J49" s="1" t="b">
        <v>0</v>
      </c>
      <c r="K49" s="1" t="b">
        <v>0</v>
      </c>
      <c r="L49" s="1" t="b">
        <v>0</v>
      </c>
      <c r="M49" s="1" t="b">
        <v>1</v>
      </c>
      <c r="N49" s="1" t="b">
        <v>0</v>
      </c>
      <c r="O49" s="1">
        <v>0</v>
      </c>
      <c r="P49" s="1"/>
      <c r="Q49" s="1"/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41</v>
      </c>
    </row>
    <row r="50" spans="1:25" x14ac:dyDescent="0.25">
      <c r="A50" s="1" t="s">
        <v>198</v>
      </c>
      <c r="B50" s="1">
        <v>0</v>
      </c>
      <c r="C50" s="1">
        <v>0</v>
      </c>
      <c r="D50" s="1">
        <v>0</v>
      </c>
      <c r="E50" s="1">
        <v>1</v>
      </c>
      <c r="F50" s="1">
        <v>0</v>
      </c>
      <c r="G50" s="1" t="b">
        <v>1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>
        <v>2</v>
      </c>
      <c r="P50" s="1" t="s">
        <v>87</v>
      </c>
      <c r="Q50" s="1"/>
      <c r="R50" s="1">
        <v>0</v>
      </c>
      <c r="S50" s="1">
        <v>0</v>
      </c>
      <c r="T50" s="1">
        <v>1</v>
      </c>
      <c r="U50" s="1">
        <v>1</v>
      </c>
      <c r="V50" s="1">
        <v>0</v>
      </c>
      <c r="W50" s="1" t="s">
        <v>54</v>
      </c>
      <c r="Y50" t="s">
        <v>199</v>
      </c>
    </row>
    <row r="51" spans="1:25" x14ac:dyDescent="0.25">
      <c r="A51" s="1" t="s">
        <v>197</v>
      </c>
      <c r="B51" s="1">
        <v>5</v>
      </c>
      <c r="C51" s="1">
        <v>0</v>
      </c>
      <c r="D51" s="1">
        <v>0</v>
      </c>
      <c r="E51" s="1">
        <v>0</v>
      </c>
      <c r="F51" s="1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>
        <v>0</v>
      </c>
      <c r="P51" s="1"/>
      <c r="Q51" s="1"/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 t="s">
        <v>53</v>
      </c>
    </row>
    <row r="52" spans="1:25" x14ac:dyDescent="0.25">
      <c r="A52" s="1" t="s">
        <v>208</v>
      </c>
      <c r="B52" s="1">
        <v>0</v>
      </c>
      <c r="C52" s="1">
        <v>30</v>
      </c>
      <c r="D52" s="1">
        <v>0</v>
      </c>
      <c r="E52" s="1">
        <v>0</v>
      </c>
      <c r="F52" s="1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0</v>
      </c>
      <c r="O52" s="1">
        <v>0</v>
      </c>
      <c r="P52" s="1"/>
      <c r="Q52" s="1" t="s">
        <v>195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 t="s">
        <v>54</v>
      </c>
    </row>
    <row r="53" spans="1:25" x14ac:dyDescent="0.25">
      <c r="A53" s="1" t="s">
        <v>283</v>
      </c>
      <c r="B53" s="1">
        <v>0</v>
      </c>
      <c r="C53" s="1">
        <v>0</v>
      </c>
      <c r="D53" s="1">
        <v>0</v>
      </c>
      <c r="E53" s="1">
        <v>0</v>
      </c>
      <c r="F53" s="1">
        <v>6</v>
      </c>
      <c r="G53" s="1" t="b">
        <v>1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>
        <v>0</v>
      </c>
      <c r="P53" s="1"/>
      <c r="Q53" s="1"/>
      <c r="R53" s="1">
        <v>0</v>
      </c>
      <c r="S53" s="1">
        <v>-50</v>
      </c>
      <c r="T53" s="1">
        <v>0</v>
      </c>
      <c r="U53" s="1">
        <v>0</v>
      </c>
      <c r="V53" s="1">
        <v>666</v>
      </c>
      <c r="W53" s="1" t="s">
        <v>54</v>
      </c>
      <c r="Y53" t="s">
        <v>284</v>
      </c>
    </row>
    <row r="54" spans="1:25" x14ac:dyDescent="0.25">
      <c r="A54" s="1" t="s">
        <v>206</v>
      </c>
      <c r="B54" s="1">
        <v>7</v>
      </c>
      <c r="C54" s="1">
        <v>0</v>
      </c>
      <c r="D54" s="1">
        <v>0</v>
      </c>
      <c r="E54" s="1">
        <v>0</v>
      </c>
      <c r="F54" s="1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>
        <v>0</v>
      </c>
      <c r="P54" s="1"/>
      <c r="Q54" s="1"/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 t="s">
        <v>53</v>
      </c>
    </row>
    <row r="55" spans="1:25" x14ac:dyDescent="0.25">
      <c r="A55" s="1" t="s">
        <v>210</v>
      </c>
      <c r="B55" s="1">
        <v>15</v>
      </c>
      <c r="C55" s="1">
        <v>0</v>
      </c>
      <c r="D55" s="1">
        <v>0</v>
      </c>
      <c r="E55" s="1">
        <v>0</v>
      </c>
      <c r="F55" s="1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>
        <v>0</v>
      </c>
      <c r="P55" s="1"/>
      <c r="Q55" s="1"/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 t="s">
        <v>53</v>
      </c>
    </row>
    <row r="56" spans="1:25" x14ac:dyDescent="0.25">
      <c r="A56" s="1" t="s">
        <v>211</v>
      </c>
      <c r="B56" s="1">
        <v>0</v>
      </c>
      <c r="C56" s="1">
        <v>20</v>
      </c>
      <c r="D56" s="1">
        <v>0</v>
      </c>
      <c r="E56" s="1">
        <v>0</v>
      </c>
      <c r="F56" s="1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>
        <v>0</v>
      </c>
      <c r="P56" s="1"/>
      <c r="Q56" s="1" t="s">
        <v>196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 t="s">
        <v>54</v>
      </c>
    </row>
    <row r="57" spans="1:25" x14ac:dyDescent="0.25">
      <c r="A57" s="1" t="s">
        <v>311</v>
      </c>
      <c r="B57" s="1">
        <v>0</v>
      </c>
      <c r="C57" s="1">
        <v>20</v>
      </c>
      <c r="D57" s="1">
        <v>0</v>
      </c>
      <c r="E57" s="1">
        <v>0</v>
      </c>
      <c r="F57" s="1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>
        <v>0</v>
      </c>
      <c r="P57" s="1"/>
      <c r="Q57" s="1" t="s">
        <v>293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 t="s">
        <v>54</v>
      </c>
    </row>
    <row r="58" spans="1:25" x14ac:dyDescent="0.25">
      <c r="A58" s="1" t="s">
        <v>313</v>
      </c>
      <c r="B58" s="1">
        <v>20</v>
      </c>
      <c r="C58" s="1">
        <v>0</v>
      </c>
      <c r="D58" s="1">
        <v>0</v>
      </c>
      <c r="E58" s="1">
        <v>0</v>
      </c>
      <c r="F58" s="1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>
        <v>0</v>
      </c>
      <c r="P58" s="1"/>
      <c r="Q58" s="1"/>
      <c r="R58" s="1">
        <v>0</v>
      </c>
      <c r="S58" s="1">
        <v>0</v>
      </c>
      <c r="T58" s="1">
        <v>0</v>
      </c>
      <c r="U58" s="1">
        <v>-2</v>
      </c>
      <c r="V58" s="1"/>
      <c r="W58" s="1" t="s">
        <v>53</v>
      </c>
    </row>
    <row r="59" spans="1:25" x14ac:dyDescent="0.25">
      <c r="A59" s="1" t="s">
        <v>312</v>
      </c>
      <c r="B59" s="1">
        <v>0</v>
      </c>
      <c r="C59" s="1">
        <v>10</v>
      </c>
      <c r="D59" s="1">
        <v>0</v>
      </c>
      <c r="E59" s="1">
        <v>0</v>
      </c>
      <c r="F59" s="1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>
        <v>0</v>
      </c>
      <c r="P59" s="1"/>
      <c r="Q59" s="1"/>
      <c r="R59" s="1">
        <v>0</v>
      </c>
      <c r="S59" s="1">
        <v>0</v>
      </c>
      <c r="T59" s="1">
        <v>0</v>
      </c>
      <c r="U59" s="1">
        <v>-1</v>
      </c>
      <c r="V59" s="1"/>
      <c r="W59" s="1" t="s">
        <v>54</v>
      </c>
    </row>
    <row r="60" spans="1:25" x14ac:dyDescent="0.25">
      <c r="A60" s="1" t="s">
        <v>338</v>
      </c>
      <c r="B60" s="1">
        <v>5</v>
      </c>
      <c r="C60" s="1">
        <v>0</v>
      </c>
      <c r="D60" s="1">
        <v>1</v>
      </c>
      <c r="E60" s="1">
        <v>5</v>
      </c>
      <c r="F60" s="1">
        <v>0</v>
      </c>
      <c r="G60" s="1" t="b">
        <v>1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>
        <v>0</v>
      </c>
      <c r="P60" s="1"/>
      <c r="Q60" s="1"/>
      <c r="R60" s="1">
        <v>0</v>
      </c>
      <c r="S60" s="1">
        <v>0</v>
      </c>
      <c r="T60" s="1">
        <v>0</v>
      </c>
      <c r="U60" s="1">
        <v>-2</v>
      </c>
      <c r="V60" s="1"/>
      <c r="W60" s="1" t="s">
        <v>54</v>
      </c>
    </row>
    <row r="61" spans="1:25" x14ac:dyDescent="0.25">
      <c r="A61" s="1" t="s">
        <v>214</v>
      </c>
      <c r="B61" s="1">
        <v>0</v>
      </c>
      <c r="C61" s="1">
        <v>25</v>
      </c>
      <c r="D61" s="1">
        <v>2</v>
      </c>
      <c r="E61" s="1">
        <v>0</v>
      </c>
      <c r="F61" s="1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>
        <v>0</v>
      </c>
      <c r="P61" s="1"/>
      <c r="Q61" s="1"/>
      <c r="R61" s="1">
        <v>10</v>
      </c>
      <c r="S61" s="1">
        <v>0</v>
      </c>
      <c r="T61" s="1">
        <v>0</v>
      </c>
      <c r="U61" s="1">
        <v>0</v>
      </c>
      <c r="V61" s="1">
        <v>0</v>
      </c>
      <c r="W61" s="1" t="s">
        <v>54</v>
      </c>
    </row>
    <row r="62" spans="1:25" ht="15.75" thickBot="1" x14ac:dyDescent="0.3">
      <c r="A62" s="35" t="s">
        <v>216</v>
      </c>
      <c r="B62" s="35">
        <v>20</v>
      </c>
      <c r="C62" s="35">
        <v>0</v>
      </c>
      <c r="D62" s="35">
        <v>0</v>
      </c>
      <c r="E62" s="35">
        <v>0</v>
      </c>
      <c r="F62" s="35">
        <v>0</v>
      </c>
      <c r="G62" s="35" t="b">
        <v>0</v>
      </c>
      <c r="H62" s="35" t="b">
        <v>0</v>
      </c>
      <c r="I62" s="35" t="b">
        <v>0</v>
      </c>
      <c r="J62" s="35" t="b">
        <v>0</v>
      </c>
      <c r="K62" s="35" t="b">
        <v>0</v>
      </c>
      <c r="L62" s="35" t="b">
        <v>0</v>
      </c>
      <c r="M62" s="35" t="b">
        <v>0</v>
      </c>
      <c r="N62" s="35" t="b">
        <v>0</v>
      </c>
      <c r="O62" s="35">
        <v>0</v>
      </c>
      <c r="P62" s="35"/>
      <c r="Q62" s="35"/>
      <c r="R62" s="35">
        <v>0</v>
      </c>
      <c r="S62" s="35">
        <v>0</v>
      </c>
      <c r="T62" s="35">
        <v>0</v>
      </c>
      <c r="U62" s="35">
        <v>0</v>
      </c>
      <c r="V62" s="35">
        <v>0</v>
      </c>
      <c r="W62" s="35" t="s">
        <v>53</v>
      </c>
    </row>
    <row r="63" spans="1:25" ht="15.75" thickTop="1" x14ac:dyDescent="0.25">
      <c r="A63" s="34" t="s">
        <v>226</v>
      </c>
      <c r="B63" s="34">
        <v>9</v>
      </c>
      <c r="C63" s="34">
        <v>0</v>
      </c>
      <c r="D63" s="34">
        <v>1</v>
      </c>
      <c r="E63" s="34">
        <v>0</v>
      </c>
      <c r="F63" s="34">
        <v>0</v>
      </c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34">
        <v>0</v>
      </c>
      <c r="P63" s="34"/>
      <c r="Q63" s="34"/>
      <c r="R63" s="34">
        <v>0</v>
      </c>
      <c r="S63" s="34">
        <v>0</v>
      </c>
      <c r="T63" s="34">
        <v>0</v>
      </c>
      <c r="U63" s="34">
        <v>0</v>
      </c>
      <c r="V63" s="34">
        <v>0</v>
      </c>
      <c r="W63" s="34" t="s">
        <v>53</v>
      </c>
    </row>
    <row r="64" spans="1:25" x14ac:dyDescent="0.25">
      <c r="A64" s="1" t="s">
        <v>227</v>
      </c>
      <c r="B64" s="1">
        <v>0</v>
      </c>
      <c r="C64" s="1">
        <v>8</v>
      </c>
      <c r="D64" s="1">
        <v>1</v>
      </c>
      <c r="E64" s="1">
        <v>0</v>
      </c>
      <c r="F64" s="1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>
        <v>0</v>
      </c>
      <c r="P64" s="1"/>
      <c r="Q64" s="1"/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 t="s">
        <v>54</v>
      </c>
    </row>
    <row r="65" spans="1:23" x14ac:dyDescent="0.25">
      <c r="A65" s="1" t="s">
        <v>228</v>
      </c>
      <c r="B65" s="1">
        <v>0</v>
      </c>
      <c r="C65" s="1">
        <v>0</v>
      </c>
      <c r="D65" s="1">
        <v>0</v>
      </c>
      <c r="E65" s="1">
        <v>4</v>
      </c>
      <c r="F65" s="1">
        <v>0</v>
      </c>
      <c r="G65" s="1" t="b">
        <v>1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>
        <v>0</v>
      </c>
      <c r="P65" s="1"/>
      <c r="Q65" s="1"/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 t="s">
        <v>54</v>
      </c>
    </row>
    <row r="66" spans="1:23" x14ac:dyDescent="0.25">
      <c r="A66" s="1" t="s">
        <v>229</v>
      </c>
      <c r="B66" s="1">
        <v>8</v>
      </c>
      <c r="C66" s="1">
        <v>0</v>
      </c>
      <c r="D66" s="1">
        <v>0</v>
      </c>
      <c r="E66" s="1">
        <v>0</v>
      </c>
      <c r="F66" s="1">
        <v>0</v>
      </c>
      <c r="G66" s="1" t="b">
        <v>1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>
        <v>0</v>
      </c>
      <c r="P66" s="1"/>
      <c r="Q66" s="1"/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 t="s">
        <v>53</v>
      </c>
    </row>
    <row r="67" spans="1:23" x14ac:dyDescent="0.25">
      <c r="A67" s="1" t="s">
        <v>230</v>
      </c>
      <c r="B67" s="1">
        <v>7</v>
      </c>
      <c r="C67" s="1">
        <v>7</v>
      </c>
      <c r="D67" s="1">
        <v>1</v>
      </c>
      <c r="E67" s="1">
        <v>0</v>
      </c>
      <c r="F67" s="1">
        <v>1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>
        <v>0</v>
      </c>
      <c r="P67" s="1"/>
      <c r="Q67" s="1"/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 t="s">
        <v>53</v>
      </c>
    </row>
    <row r="68" spans="1:23" x14ac:dyDescent="0.25">
      <c r="A68" s="1" t="s">
        <v>231</v>
      </c>
      <c r="B68" s="1">
        <v>28</v>
      </c>
      <c r="C68" s="1">
        <v>0</v>
      </c>
      <c r="D68" s="1">
        <v>2</v>
      </c>
      <c r="E68" s="1">
        <v>0</v>
      </c>
      <c r="F68" s="1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>
        <v>0</v>
      </c>
      <c r="P68" s="1"/>
      <c r="Q68" s="1"/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 t="s">
        <v>53</v>
      </c>
    </row>
    <row r="69" spans="1:23" x14ac:dyDescent="0.25">
      <c r="A69" s="1" t="s">
        <v>232</v>
      </c>
      <c r="B69" s="1">
        <v>8</v>
      </c>
      <c r="C69" s="1">
        <v>0</v>
      </c>
      <c r="D69" s="1">
        <v>1</v>
      </c>
      <c r="E69" s="1">
        <v>2</v>
      </c>
      <c r="F69" s="1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>
        <v>0</v>
      </c>
      <c r="P69" s="1"/>
      <c r="Q69" s="1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 t="s">
        <v>53</v>
      </c>
    </row>
    <row r="70" spans="1:23" x14ac:dyDescent="0.25">
      <c r="A70" s="1" t="s">
        <v>233</v>
      </c>
      <c r="B70" s="1">
        <v>0</v>
      </c>
      <c r="C70" s="1">
        <v>15</v>
      </c>
      <c r="D70" s="1">
        <v>1</v>
      </c>
      <c r="E70" s="1">
        <v>0</v>
      </c>
      <c r="F70" s="1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>
        <v>0</v>
      </c>
      <c r="P70" s="1"/>
      <c r="Q70" s="1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 t="s">
        <v>54</v>
      </c>
    </row>
    <row r="71" spans="1:23" x14ac:dyDescent="0.25">
      <c r="A71" s="1" t="s">
        <v>234</v>
      </c>
      <c r="B71" s="4">
        <v>15</v>
      </c>
      <c r="C71" s="1">
        <v>0</v>
      </c>
      <c r="D71" s="1">
        <v>1</v>
      </c>
      <c r="E71" s="1">
        <v>0</v>
      </c>
      <c r="F71" s="1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>
        <v>0</v>
      </c>
      <c r="P71" s="1"/>
      <c r="Q71" s="1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 t="s">
        <v>53</v>
      </c>
    </row>
    <row r="72" spans="1:23" x14ac:dyDescent="0.25">
      <c r="A72" s="1" t="s">
        <v>235</v>
      </c>
      <c r="B72" s="1">
        <v>10</v>
      </c>
      <c r="C72" s="1">
        <v>10</v>
      </c>
      <c r="D72" s="1">
        <v>1</v>
      </c>
      <c r="E72" s="1">
        <v>0</v>
      </c>
      <c r="F72" s="1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>
        <v>0</v>
      </c>
      <c r="P72" s="1"/>
      <c r="Q72" s="1"/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 t="s">
        <v>53</v>
      </c>
    </row>
    <row r="73" spans="1:23" x14ac:dyDescent="0.25">
      <c r="A73" s="1" t="s">
        <v>287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 t="b">
        <v>1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>
        <v>0</v>
      </c>
      <c r="P73" s="1"/>
      <c r="Q73" s="1"/>
      <c r="R73" s="1">
        <v>0</v>
      </c>
      <c r="S73" s="1">
        <v>0</v>
      </c>
      <c r="T73" s="1">
        <v>0</v>
      </c>
      <c r="U73" s="1">
        <v>0</v>
      </c>
      <c r="V73" s="1">
        <v>3</v>
      </c>
      <c r="W73" s="1" t="s">
        <v>54</v>
      </c>
    </row>
    <row r="74" spans="1:23" x14ac:dyDescent="0.25">
      <c r="A74" s="1" t="s">
        <v>236</v>
      </c>
      <c r="B74" s="1">
        <v>4</v>
      </c>
      <c r="C74" s="1">
        <v>99</v>
      </c>
      <c r="D74" s="1">
        <v>3</v>
      </c>
      <c r="E74" s="1">
        <v>0</v>
      </c>
      <c r="F74" s="1">
        <v>0</v>
      </c>
      <c r="G74" s="1" t="b">
        <v>1</v>
      </c>
      <c r="H74" s="1" t="b">
        <v>0</v>
      </c>
      <c r="I74" s="1" t="b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>
        <v>0</v>
      </c>
      <c r="P74" s="1"/>
      <c r="Q74" s="1"/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 t="s">
        <v>41</v>
      </c>
    </row>
    <row r="75" spans="1:23" x14ac:dyDescent="0.25">
      <c r="A75" s="1" t="s">
        <v>237</v>
      </c>
      <c r="B75" s="1">
        <v>8</v>
      </c>
      <c r="C75" s="1">
        <v>0</v>
      </c>
      <c r="D75" s="1">
        <v>0</v>
      </c>
      <c r="E75" s="1">
        <v>0</v>
      </c>
      <c r="F75" s="1">
        <v>0</v>
      </c>
      <c r="G75" s="1" t="b">
        <v>0</v>
      </c>
      <c r="H75" s="1" t="b">
        <v>1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>
        <v>0</v>
      </c>
      <c r="P75" s="1"/>
      <c r="Q75" s="1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 t="s">
        <v>53</v>
      </c>
    </row>
    <row r="76" spans="1:23" x14ac:dyDescent="0.25">
      <c r="A76" s="1" t="s">
        <v>238</v>
      </c>
      <c r="B76" s="1">
        <v>0</v>
      </c>
      <c r="C76" s="1">
        <v>7</v>
      </c>
      <c r="D76" s="1">
        <v>0</v>
      </c>
      <c r="E76" s="1">
        <v>0</v>
      </c>
      <c r="F76" s="1">
        <v>1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>
        <v>0</v>
      </c>
      <c r="P76" s="1"/>
      <c r="Q76" s="1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 t="s">
        <v>54</v>
      </c>
    </row>
    <row r="77" spans="1:23" x14ac:dyDescent="0.25">
      <c r="A77" s="1" t="s">
        <v>239</v>
      </c>
      <c r="B77" s="1">
        <v>18</v>
      </c>
      <c r="C77" s="1">
        <v>0</v>
      </c>
      <c r="D77" s="1">
        <v>2</v>
      </c>
      <c r="E77" s="1">
        <v>0</v>
      </c>
      <c r="F77" s="1">
        <v>0</v>
      </c>
      <c r="G77" s="1" t="b">
        <v>0</v>
      </c>
      <c r="H77" s="1" t="b">
        <v>0</v>
      </c>
      <c r="I77" s="1" t="b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>
        <v>0</v>
      </c>
      <c r="P77" s="1"/>
      <c r="Q77" s="1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 t="s">
        <v>41</v>
      </c>
    </row>
    <row r="78" spans="1:23" x14ac:dyDescent="0.25">
      <c r="A78" s="1" t="s">
        <v>240</v>
      </c>
      <c r="B78" s="1">
        <v>12</v>
      </c>
      <c r="C78" s="1">
        <v>0</v>
      </c>
      <c r="D78" s="1">
        <v>1</v>
      </c>
      <c r="E78" s="1">
        <v>0</v>
      </c>
      <c r="F78" s="1">
        <v>0</v>
      </c>
      <c r="G78" s="1" t="b">
        <v>0</v>
      </c>
      <c r="H78" s="1" t="b">
        <v>1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>
        <v>0</v>
      </c>
      <c r="P78" s="1"/>
      <c r="Q78" s="1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 t="s">
        <v>53</v>
      </c>
    </row>
    <row r="79" spans="1:23" x14ac:dyDescent="0.25">
      <c r="A79" s="1" t="s">
        <v>89</v>
      </c>
      <c r="B79" s="1">
        <v>0</v>
      </c>
      <c r="C79" s="1">
        <v>20</v>
      </c>
      <c r="D79" s="1">
        <v>1</v>
      </c>
      <c r="E79" s="1">
        <v>4</v>
      </c>
      <c r="F79" s="1">
        <v>0</v>
      </c>
      <c r="G79" s="1" t="b">
        <v>1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>
        <v>0</v>
      </c>
      <c r="P79" s="1"/>
      <c r="Q79" s="1"/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 t="s">
        <v>53</v>
      </c>
    </row>
    <row r="80" spans="1:23" x14ac:dyDescent="0.25">
      <c r="A80" s="1" t="s">
        <v>241</v>
      </c>
      <c r="B80" s="1">
        <v>0</v>
      </c>
      <c r="C80" s="1">
        <v>10</v>
      </c>
      <c r="D80" s="1">
        <v>2</v>
      </c>
      <c r="E80" s="1">
        <v>0</v>
      </c>
      <c r="F80" s="1">
        <v>0</v>
      </c>
      <c r="G80" s="1" t="b">
        <v>0</v>
      </c>
      <c r="H80" s="1" t="b">
        <v>0</v>
      </c>
      <c r="I80" s="1" t="b">
        <v>0</v>
      </c>
      <c r="J80" s="1" t="b">
        <v>1</v>
      </c>
      <c r="K80" s="1" t="b">
        <v>1</v>
      </c>
      <c r="L80" s="1" t="b">
        <v>1</v>
      </c>
      <c r="M80" s="1" t="b">
        <v>1</v>
      </c>
      <c r="N80" s="1" t="b">
        <v>0</v>
      </c>
      <c r="O80" s="1">
        <v>0</v>
      </c>
      <c r="P80" s="1"/>
      <c r="Q80" s="1"/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 t="s">
        <v>53</v>
      </c>
    </row>
    <row r="81" spans="1:23" x14ac:dyDescent="0.25">
      <c r="A81" s="1" t="s">
        <v>242</v>
      </c>
      <c r="B81" s="1">
        <v>18</v>
      </c>
      <c r="C81" s="1">
        <v>0</v>
      </c>
      <c r="D81" s="1">
        <v>1</v>
      </c>
      <c r="E81" s="1">
        <v>9</v>
      </c>
      <c r="F81" s="1">
        <v>0</v>
      </c>
      <c r="G81" s="1" t="b">
        <v>1</v>
      </c>
      <c r="H81" s="1" t="b">
        <v>0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0</v>
      </c>
      <c r="O81" s="1">
        <v>0</v>
      </c>
      <c r="P81" s="1"/>
      <c r="Q81" s="1"/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 t="s">
        <v>53</v>
      </c>
    </row>
    <row r="82" spans="1:23" x14ac:dyDescent="0.25">
      <c r="A82" s="1" t="s">
        <v>243</v>
      </c>
      <c r="B82" s="1">
        <v>18</v>
      </c>
      <c r="C82" s="1">
        <v>18</v>
      </c>
      <c r="D82" s="1">
        <v>1</v>
      </c>
      <c r="E82" s="1">
        <v>0</v>
      </c>
      <c r="F82" s="1">
        <v>0</v>
      </c>
      <c r="G82" s="1" t="b">
        <v>1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>
        <v>0</v>
      </c>
      <c r="P82" s="1"/>
      <c r="Q82" s="1"/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 t="s">
        <v>53</v>
      </c>
    </row>
    <row r="83" spans="1:23" x14ac:dyDescent="0.25">
      <c r="A83" s="1" t="s">
        <v>244</v>
      </c>
      <c r="B83" s="1">
        <v>0</v>
      </c>
      <c r="C83" s="1">
        <v>18</v>
      </c>
      <c r="D83" s="1">
        <v>1</v>
      </c>
      <c r="E83" s="1">
        <v>9</v>
      </c>
      <c r="F83" s="1">
        <v>0</v>
      </c>
      <c r="G83" s="1" t="b">
        <v>1</v>
      </c>
      <c r="H83" s="1" t="b">
        <v>0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0</v>
      </c>
      <c r="O83" s="1">
        <v>0</v>
      </c>
      <c r="P83" s="1"/>
      <c r="Q83" s="1"/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 t="s">
        <v>54</v>
      </c>
    </row>
    <row r="84" spans="1:23" x14ac:dyDescent="0.25">
      <c r="A84" s="1" t="s">
        <v>245</v>
      </c>
      <c r="B84" s="1">
        <v>18</v>
      </c>
      <c r="C84" s="1">
        <v>0</v>
      </c>
      <c r="D84" s="1">
        <v>1</v>
      </c>
      <c r="E84" s="1">
        <v>0</v>
      </c>
      <c r="F84" s="1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>
        <v>0</v>
      </c>
      <c r="P84" s="1"/>
      <c r="Q84" s="1"/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 t="s">
        <v>53</v>
      </c>
    </row>
    <row r="85" spans="1:23" x14ac:dyDescent="0.25">
      <c r="A85" s="1" t="s">
        <v>246</v>
      </c>
      <c r="B85" s="1">
        <v>0</v>
      </c>
      <c r="C85" s="1">
        <v>18</v>
      </c>
      <c r="D85" s="1">
        <v>1</v>
      </c>
      <c r="E85" s="1">
        <v>0</v>
      </c>
      <c r="F85" s="1">
        <v>0</v>
      </c>
      <c r="G85" s="1" t="b">
        <v>0</v>
      </c>
      <c r="H85" s="1" t="b">
        <v>0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0</v>
      </c>
      <c r="O85" s="1">
        <v>0</v>
      </c>
      <c r="P85" s="1"/>
      <c r="Q85" s="1"/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54</v>
      </c>
    </row>
    <row r="86" spans="1:23" x14ac:dyDescent="0.25">
      <c r="A86" s="1" t="s">
        <v>247</v>
      </c>
      <c r="B86" s="1">
        <v>0</v>
      </c>
      <c r="C86" s="1">
        <v>0</v>
      </c>
      <c r="D86" s="1">
        <v>1</v>
      </c>
      <c r="E86" s="1">
        <v>9</v>
      </c>
      <c r="F86" s="1">
        <v>0</v>
      </c>
      <c r="G86" s="1" t="b">
        <v>1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>
        <v>0</v>
      </c>
      <c r="P86" s="1"/>
      <c r="Q86" s="1"/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 t="s">
        <v>54</v>
      </c>
    </row>
    <row r="87" spans="1:23" x14ac:dyDescent="0.25">
      <c r="A87" s="1" t="s">
        <v>248</v>
      </c>
      <c r="B87" s="1">
        <v>10</v>
      </c>
      <c r="C87" s="1">
        <v>0</v>
      </c>
      <c r="D87" s="1">
        <v>1</v>
      </c>
      <c r="E87" s="1">
        <v>0</v>
      </c>
      <c r="F87" s="1">
        <v>0</v>
      </c>
      <c r="G87" s="1" t="b">
        <v>0</v>
      </c>
      <c r="H87" s="1" t="b">
        <v>1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>
        <v>0</v>
      </c>
      <c r="P87" s="1"/>
      <c r="Q87" s="1"/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41</v>
      </c>
    </row>
    <row r="88" spans="1:23" x14ac:dyDescent="0.25">
      <c r="A88" s="1" t="s">
        <v>317</v>
      </c>
      <c r="B88" s="1">
        <v>5</v>
      </c>
      <c r="C88" s="1">
        <v>0</v>
      </c>
      <c r="D88" s="1">
        <v>0</v>
      </c>
      <c r="E88" s="1">
        <v>0</v>
      </c>
      <c r="F88" s="1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1</v>
      </c>
      <c r="M88" s="1" t="b">
        <v>1</v>
      </c>
      <c r="N88" s="1" t="b">
        <v>1</v>
      </c>
      <c r="O88" s="1">
        <v>0</v>
      </c>
      <c r="P88" s="1"/>
      <c r="Q88" s="1"/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 t="s">
        <v>53</v>
      </c>
    </row>
    <row r="89" spans="1:23" x14ac:dyDescent="0.25">
      <c r="A89" s="1" t="s">
        <v>249</v>
      </c>
      <c r="B89" s="1">
        <v>5</v>
      </c>
      <c r="C89" s="1">
        <v>0</v>
      </c>
      <c r="D89" s="1">
        <v>0</v>
      </c>
      <c r="E89" s="1">
        <v>0</v>
      </c>
      <c r="F89" s="1">
        <v>1</v>
      </c>
      <c r="G89" s="1" t="b">
        <v>0</v>
      </c>
      <c r="H89" s="1" t="b">
        <v>0</v>
      </c>
      <c r="I89" s="1" t="b">
        <v>0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0</v>
      </c>
      <c r="O89" s="1">
        <v>4</v>
      </c>
      <c r="P89" s="1" t="s">
        <v>249</v>
      </c>
      <c r="Q89" s="1"/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 t="s">
        <v>172</v>
      </c>
    </row>
    <row r="90" spans="1:23" x14ac:dyDescent="0.25">
      <c r="A90" s="1" t="s">
        <v>250</v>
      </c>
      <c r="B90" s="1">
        <v>0</v>
      </c>
      <c r="C90" s="1">
        <v>0</v>
      </c>
      <c r="D90" s="1">
        <v>1</v>
      </c>
      <c r="E90" s="1">
        <v>10</v>
      </c>
      <c r="F90" s="1">
        <v>1</v>
      </c>
      <c r="G90" s="1" t="b">
        <v>0</v>
      </c>
      <c r="H90" s="1" t="b">
        <v>0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0</v>
      </c>
      <c r="O90" s="1">
        <v>0</v>
      </c>
      <c r="P90" s="1"/>
      <c r="Q90" s="1"/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 t="s">
        <v>54</v>
      </c>
    </row>
    <row r="91" spans="1:23" x14ac:dyDescent="0.25">
      <c r="A91" s="1" t="s">
        <v>251</v>
      </c>
      <c r="B91" s="1">
        <v>10</v>
      </c>
      <c r="C91" s="1">
        <v>0</v>
      </c>
      <c r="D91" s="1">
        <v>1</v>
      </c>
      <c r="E91" s="1">
        <v>0</v>
      </c>
      <c r="F91" s="1">
        <v>0</v>
      </c>
      <c r="G91" s="1" t="b">
        <v>1</v>
      </c>
      <c r="H91" s="1" t="b">
        <v>0</v>
      </c>
      <c r="I91" s="1" t="b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>
        <v>1</v>
      </c>
      <c r="P91" s="1" t="s">
        <v>253</v>
      </c>
      <c r="Q91" s="1"/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 t="s">
        <v>172</v>
      </c>
    </row>
    <row r="92" spans="1:23" x14ac:dyDescent="0.25">
      <c r="A92" s="1" t="s">
        <v>252</v>
      </c>
      <c r="B92" s="1">
        <v>5</v>
      </c>
      <c r="C92" s="1">
        <v>0</v>
      </c>
      <c r="D92" s="1">
        <v>3</v>
      </c>
      <c r="E92" s="1">
        <v>0</v>
      </c>
      <c r="F92" s="1">
        <v>0</v>
      </c>
      <c r="G92" s="1" t="b">
        <v>1</v>
      </c>
      <c r="H92" s="1" t="b">
        <v>1</v>
      </c>
      <c r="I92" s="1" t="b">
        <v>1</v>
      </c>
      <c r="J92" s="1" t="b">
        <v>0</v>
      </c>
      <c r="K92" s="1" t="b">
        <v>1</v>
      </c>
      <c r="L92" s="1" t="b">
        <v>0</v>
      </c>
      <c r="M92" s="1" t="b">
        <v>0</v>
      </c>
      <c r="N92" s="1" t="b">
        <v>1</v>
      </c>
      <c r="O92" s="1">
        <v>0</v>
      </c>
      <c r="P92" s="1"/>
      <c r="Q92" s="1"/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 t="s">
        <v>41</v>
      </c>
    </row>
    <row r="93" spans="1:23" x14ac:dyDescent="0.25">
      <c r="A93" s="1" t="s">
        <v>253</v>
      </c>
      <c r="B93" s="1">
        <v>15</v>
      </c>
      <c r="C93" s="1">
        <v>0</v>
      </c>
      <c r="D93" s="1">
        <v>1</v>
      </c>
      <c r="E93" s="1">
        <v>0</v>
      </c>
      <c r="F93" s="1">
        <v>0</v>
      </c>
      <c r="G93" s="1" t="b">
        <v>1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>
        <v>1</v>
      </c>
      <c r="P93" s="1" t="s">
        <v>254</v>
      </c>
      <c r="Q93" s="1"/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 t="s">
        <v>53</v>
      </c>
    </row>
    <row r="94" spans="1:23" x14ac:dyDescent="0.25">
      <c r="A94" s="1" t="s">
        <v>254</v>
      </c>
      <c r="B94" s="1">
        <v>15</v>
      </c>
      <c r="C94" s="1">
        <v>0</v>
      </c>
      <c r="D94" s="1">
        <v>1</v>
      </c>
      <c r="E94" s="1">
        <v>0</v>
      </c>
      <c r="F94" s="1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>
        <v>0</v>
      </c>
      <c r="P94" s="1"/>
      <c r="Q94" s="1"/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 t="s">
        <v>41</v>
      </c>
    </row>
    <row r="95" spans="1:23" x14ac:dyDescent="0.25">
      <c r="A95" s="1" t="s">
        <v>255</v>
      </c>
      <c r="B95" s="1">
        <v>10</v>
      </c>
      <c r="C95" s="1">
        <v>0</v>
      </c>
      <c r="D95" s="1">
        <v>0</v>
      </c>
      <c r="E95" s="1">
        <v>0</v>
      </c>
      <c r="F95" s="1">
        <v>1</v>
      </c>
      <c r="G95" s="1" t="b">
        <v>0</v>
      </c>
      <c r="H95" s="1" t="b">
        <v>1</v>
      </c>
      <c r="I95" s="1" t="b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0</v>
      </c>
      <c r="O95" s="1">
        <v>0</v>
      </c>
      <c r="P95" s="1"/>
      <c r="Q95" s="1"/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41</v>
      </c>
    </row>
    <row r="96" spans="1:23" x14ac:dyDescent="0.25">
      <c r="A96" s="1" t="s">
        <v>256</v>
      </c>
      <c r="B96" s="1">
        <v>0</v>
      </c>
      <c r="C96" s="1">
        <v>0</v>
      </c>
      <c r="D96" s="1">
        <v>0</v>
      </c>
      <c r="E96" s="1">
        <v>1</v>
      </c>
      <c r="F96" s="1">
        <v>0</v>
      </c>
      <c r="G96" s="1" t="b">
        <v>1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>
        <v>2</v>
      </c>
      <c r="P96" s="1" t="s">
        <v>255</v>
      </c>
      <c r="Q96" s="1"/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54</v>
      </c>
    </row>
    <row r="97" spans="1:23" x14ac:dyDescent="0.25">
      <c r="A97" s="1" t="s">
        <v>257</v>
      </c>
      <c r="B97" s="1">
        <v>0</v>
      </c>
      <c r="C97" s="1">
        <v>99</v>
      </c>
      <c r="D97" s="1">
        <v>1</v>
      </c>
      <c r="E97" s="1">
        <v>0</v>
      </c>
      <c r="F97" s="1">
        <v>0</v>
      </c>
      <c r="G97" s="1" t="b">
        <v>0</v>
      </c>
      <c r="H97" s="1" t="b">
        <v>0</v>
      </c>
      <c r="I97" s="1" t="b">
        <v>0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>
        <v>0</v>
      </c>
      <c r="P97" s="1"/>
      <c r="Q97" s="1"/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54</v>
      </c>
    </row>
    <row r="98" spans="1:23" x14ac:dyDescent="0.25">
      <c r="A98" s="1" t="s">
        <v>285</v>
      </c>
      <c r="B98" s="1">
        <v>0</v>
      </c>
      <c r="C98" s="1">
        <v>0</v>
      </c>
      <c r="D98" s="1">
        <v>0</v>
      </c>
      <c r="E98" s="1">
        <v>0</v>
      </c>
      <c r="F98" s="1">
        <v>6</v>
      </c>
      <c r="G98" s="1" t="b">
        <v>1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>
        <v>0</v>
      </c>
      <c r="P98" s="1"/>
      <c r="Q98" s="1"/>
      <c r="R98" s="1">
        <v>0</v>
      </c>
      <c r="S98" s="1">
        <v>-50</v>
      </c>
      <c r="T98" s="1">
        <v>0</v>
      </c>
      <c r="U98" s="1">
        <v>0</v>
      </c>
      <c r="V98" s="1">
        <v>666</v>
      </c>
      <c r="W98" s="1" t="s">
        <v>54</v>
      </c>
    </row>
    <row r="99" spans="1:23" x14ac:dyDescent="0.25">
      <c r="A99" s="74" t="s">
        <v>325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>
        <v>0</v>
      </c>
      <c r="P99" s="1"/>
      <c r="Q99" s="1"/>
      <c r="R99" s="1">
        <v>0</v>
      </c>
      <c r="S99" s="1">
        <v>0</v>
      </c>
      <c r="T99" s="1">
        <v>3</v>
      </c>
      <c r="U99" s="1">
        <v>2</v>
      </c>
      <c r="V99" s="1">
        <v>2</v>
      </c>
      <c r="W99" s="1" t="s">
        <v>54</v>
      </c>
    </row>
    <row r="100" spans="1:23" x14ac:dyDescent="0.25">
      <c r="A100" s="74" t="s">
        <v>326</v>
      </c>
      <c r="B100" s="1">
        <v>0</v>
      </c>
      <c r="C100" s="1">
        <v>20</v>
      </c>
      <c r="D100" s="1">
        <v>2</v>
      </c>
      <c r="E100" s="1">
        <v>0</v>
      </c>
      <c r="F100" s="1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>
        <v>0</v>
      </c>
      <c r="P100" s="1"/>
      <c r="Q100" s="1"/>
      <c r="R100" s="1">
        <v>20</v>
      </c>
      <c r="S100" s="1">
        <v>0</v>
      </c>
      <c r="T100" s="1">
        <v>0</v>
      </c>
      <c r="U100" s="1">
        <v>0</v>
      </c>
      <c r="V100" s="1">
        <v>0</v>
      </c>
      <c r="W100" s="1" t="s">
        <v>54</v>
      </c>
    </row>
    <row r="101" spans="1:23" x14ac:dyDescent="0.25">
      <c r="A101" s="74" t="s">
        <v>324</v>
      </c>
      <c r="B101" s="1">
        <v>40</v>
      </c>
      <c r="C101" s="1">
        <v>0</v>
      </c>
      <c r="D101" s="1">
        <v>2</v>
      </c>
      <c r="E101" s="1">
        <v>0</v>
      </c>
      <c r="F101" s="1">
        <v>0</v>
      </c>
      <c r="G101" s="1" t="b">
        <v>1</v>
      </c>
      <c r="H101" s="1" t="b">
        <v>0</v>
      </c>
      <c r="I101" s="1" t="b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>
        <v>0</v>
      </c>
      <c r="P101" s="1"/>
      <c r="Q101" s="1"/>
      <c r="R101" s="1">
        <v>0</v>
      </c>
      <c r="S101" s="1">
        <v>-5</v>
      </c>
      <c r="T101" s="1">
        <v>-2</v>
      </c>
      <c r="U101" s="1">
        <v>-2</v>
      </c>
      <c r="V101" s="1">
        <v>0</v>
      </c>
      <c r="W101" s="1" t="s">
        <v>41</v>
      </c>
    </row>
    <row r="192454" spans="2:2" x14ac:dyDescent="0.25">
      <c r="B192454">
        <v>22027</v>
      </c>
    </row>
    <row r="192455" spans="2:2" x14ac:dyDescent="0.25">
      <c r="B192455">
        <v>16418</v>
      </c>
    </row>
  </sheetData>
  <conditionalFormatting sqref="G2:N101">
    <cfRule type="cellIs" dxfId="2" priority="3" operator="equal">
      <formula>TRUE</formula>
    </cfRule>
  </conditionalFormatting>
  <conditionalFormatting sqref="Q2:Q62">
    <cfRule type="containsText" dxfId="1" priority="2" operator="containsText" text="*">
      <formula>NOT(ISERROR(SEARCH("*",Q2)))</formula>
    </cfRule>
  </conditionalFormatting>
  <conditionalFormatting sqref="O2:O101">
    <cfRule type="cellIs" dxfId="0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69DD-034D-4AD6-993A-F2B48A14CBAA}">
  <sheetPr codeName="Feuil2"/>
  <dimension ref="A1:H19"/>
  <sheetViews>
    <sheetView workbookViewId="0">
      <selection activeCell="A20" sqref="A20"/>
    </sheetView>
  </sheetViews>
  <sheetFormatPr baseColWidth="10" defaultRowHeight="15" x14ac:dyDescent="0.25"/>
  <sheetData>
    <row r="1" spans="1:8" x14ac:dyDescent="0.25">
      <c r="A1" t="s">
        <v>404</v>
      </c>
      <c r="H1" t="s">
        <v>428</v>
      </c>
    </row>
    <row r="2" spans="1:8" x14ac:dyDescent="0.25">
      <c r="A2" t="s">
        <v>405</v>
      </c>
      <c r="H2" t="s">
        <v>428</v>
      </c>
    </row>
    <row r="3" spans="1:8" x14ac:dyDescent="0.25">
      <c r="A3" t="s">
        <v>406</v>
      </c>
      <c r="H3" t="s">
        <v>429</v>
      </c>
    </row>
    <row r="4" spans="1:8" x14ac:dyDescent="0.25">
      <c r="A4" t="s">
        <v>434</v>
      </c>
      <c r="H4" t="s">
        <v>430</v>
      </c>
    </row>
    <row r="5" spans="1:8" x14ac:dyDescent="0.25">
      <c r="A5" t="s">
        <v>418</v>
      </c>
      <c r="H5" t="s">
        <v>429</v>
      </c>
    </row>
    <row r="6" spans="1:8" x14ac:dyDescent="0.25">
      <c r="A6" t="s">
        <v>422</v>
      </c>
      <c r="H6" t="s">
        <v>430</v>
      </c>
    </row>
    <row r="7" spans="1:8" x14ac:dyDescent="0.25">
      <c r="H7" t="s">
        <v>431</v>
      </c>
    </row>
    <row r="8" spans="1:8" x14ac:dyDescent="0.25">
      <c r="A8" t="s">
        <v>423</v>
      </c>
      <c r="H8" t="s">
        <v>431</v>
      </c>
    </row>
    <row r="9" spans="1:8" x14ac:dyDescent="0.25">
      <c r="A9" t="s">
        <v>424</v>
      </c>
      <c r="H9" t="s">
        <v>429</v>
      </c>
    </row>
    <row r="10" spans="1:8" x14ac:dyDescent="0.25">
      <c r="A10" t="s">
        <v>425</v>
      </c>
      <c r="H10" t="s">
        <v>430</v>
      </c>
    </row>
    <row r="11" spans="1:8" x14ac:dyDescent="0.25">
      <c r="H11" t="s">
        <v>429</v>
      </c>
    </row>
    <row r="12" spans="1:8" x14ac:dyDescent="0.25">
      <c r="A12" t="s">
        <v>426</v>
      </c>
      <c r="H12" t="s">
        <v>432</v>
      </c>
    </row>
    <row r="13" spans="1:8" x14ac:dyDescent="0.25">
      <c r="A13" t="s">
        <v>427</v>
      </c>
      <c r="H13" t="s">
        <v>433</v>
      </c>
    </row>
    <row r="14" spans="1:8" x14ac:dyDescent="0.25">
      <c r="A14" t="s">
        <v>435</v>
      </c>
    </row>
    <row r="15" spans="1:8" x14ac:dyDescent="0.25">
      <c r="A15" t="s">
        <v>436</v>
      </c>
    </row>
    <row r="18" spans="1:1" x14ac:dyDescent="0.25">
      <c r="A18" t="s">
        <v>452</v>
      </c>
    </row>
    <row r="19" spans="1:1" x14ac:dyDescent="0.25">
      <c r="A19" t="s">
        <v>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5</vt:i4>
      </vt:variant>
    </vt:vector>
  </HeadingPairs>
  <TitlesOfParts>
    <vt:vector size="16" baseType="lpstr">
      <vt:lpstr>UI</vt:lpstr>
      <vt:lpstr>Rules</vt:lpstr>
      <vt:lpstr>Enemies</vt:lpstr>
      <vt:lpstr>Fights</vt:lpstr>
      <vt:lpstr>PermanentDeck</vt:lpstr>
      <vt:lpstr>BattleDeck</vt:lpstr>
      <vt:lpstr>DiscardPile</vt:lpstr>
      <vt:lpstr>BaseDeck</vt:lpstr>
      <vt:lpstr>Cards</vt:lpstr>
      <vt:lpstr>Cards(old)</vt:lpstr>
      <vt:lpstr>To do</vt:lpstr>
      <vt:lpstr>DrawCount</vt:lpstr>
      <vt:lpstr>Energy</vt:lpstr>
      <vt:lpstr>PlayerBlock</vt:lpstr>
      <vt:lpstr>PlayerHP</vt:lpstr>
      <vt:lpstr>PlayHP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lille-salleA406</cp:lastModifiedBy>
  <dcterms:created xsi:type="dcterms:W3CDTF">2023-08-25T12:17:37Z</dcterms:created>
  <dcterms:modified xsi:type="dcterms:W3CDTF">2024-06-04T14:17:17Z</dcterms:modified>
</cp:coreProperties>
</file>